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494275D8-086E-47C3-BC84-8897AD79ED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v" sheetId="1" r:id="rId1"/>
    <sheet name="stat" sheetId="3" r:id="rId2"/>
    <sheet name="grading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1" l="1"/>
  <c r="AN19" i="1"/>
  <c r="AN20" i="1" s="1"/>
  <c r="AN21" i="1" s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AL21" i="1"/>
  <c r="AR21" i="1"/>
  <c r="AS21" i="1"/>
  <c r="AV21" i="1"/>
  <c r="AX21" i="1"/>
  <c r="B21" i="1"/>
  <c r="C19" i="1"/>
  <c r="C20" i="1" s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T20" i="1" s="1"/>
  <c r="T21" i="1" s="1"/>
  <c r="U19" i="1"/>
  <c r="U20" i="1" s="1"/>
  <c r="U21" i="1" s="1"/>
  <c r="V19" i="1"/>
  <c r="V20" i="1" s="1"/>
  <c r="V21" i="1" s="1"/>
  <c r="W19" i="1"/>
  <c r="W20" i="1" s="1"/>
  <c r="W21" i="1" s="1"/>
  <c r="X19" i="1"/>
  <c r="X20" i="1" s="1"/>
  <c r="X21" i="1" s="1"/>
  <c r="Y19" i="1"/>
  <c r="Y20" i="1" s="1"/>
  <c r="Y21" i="1" s="1"/>
  <c r="Z19" i="1"/>
  <c r="Z20" i="1" s="1"/>
  <c r="Z21" i="1" s="1"/>
  <c r="AA19" i="1"/>
  <c r="AA20" i="1" s="1"/>
  <c r="AA21" i="1" s="1"/>
  <c r="AB19" i="1"/>
  <c r="AB20" i="1" s="1"/>
  <c r="AB21" i="1" s="1"/>
  <c r="AC19" i="1"/>
  <c r="AC20" i="1" s="1"/>
  <c r="AC21" i="1" s="1"/>
  <c r="AD19" i="1"/>
  <c r="AD20" i="1" s="1"/>
  <c r="AD21" i="1" s="1"/>
  <c r="AE19" i="1"/>
  <c r="AE20" i="1" s="1"/>
  <c r="AE21" i="1" s="1"/>
  <c r="AF19" i="1"/>
  <c r="AF20" i="1" s="1"/>
  <c r="AF21" i="1" s="1"/>
  <c r="AG19" i="1"/>
  <c r="AG20" i="1" s="1"/>
  <c r="AG21" i="1" s="1"/>
  <c r="AH19" i="1"/>
  <c r="AH20" i="1" s="1"/>
  <c r="AH21" i="1" s="1"/>
  <c r="AI19" i="1"/>
  <c r="AI20" i="1" s="1"/>
  <c r="AI21" i="1" s="1"/>
  <c r="AJ19" i="1"/>
  <c r="AJ20" i="1" s="1"/>
  <c r="AJ21" i="1" s="1"/>
  <c r="AK19" i="1"/>
  <c r="AK20" i="1" s="1"/>
  <c r="AK21" i="1" s="1"/>
  <c r="AL19" i="1"/>
  <c r="AL20" i="1" s="1"/>
  <c r="AM19" i="1"/>
  <c r="AM20" i="1" s="1"/>
  <c r="AM21" i="1" s="1"/>
  <c r="AO19" i="1"/>
  <c r="AO20" i="1" s="1"/>
  <c r="AO21" i="1" s="1"/>
  <c r="AP19" i="1"/>
  <c r="AP20" i="1" s="1"/>
  <c r="AP21" i="1" s="1"/>
  <c r="AQ19" i="1"/>
  <c r="AQ20" i="1" s="1"/>
  <c r="AQ21" i="1" s="1"/>
  <c r="AR19" i="1"/>
  <c r="AR20" i="1" s="1"/>
  <c r="AS19" i="1"/>
  <c r="AS20" i="1" s="1"/>
  <c r="AT19" i="1"/>
  <c r="AT20" i="1" s="1"/>
  <c r="AT21" i="1" s="1"/>
  <c r="AU19" i="1"/>
  <c r="AU20" i="1" s="1"/>
  <c r="AU21" i="1" s="1"/>
  <c r="AV19" i="1"/>
  <c r="AV20" i="1" s="1"/>
  <c r="AW19" i="1"/>
  <c r="AW20" i="1" s="1"/>
  <c r="AW21" i="1" s="1"/>
  <c r="AX19" i="1"/>
  <c r="AX20" i="1" s="1"/>
  <c r="AY19" i="1"/>
  <c r="AY20" i="1" s="1"/>
  <c r="AY21" i="1" s="1"/>
  <c r="AZ19" i="1"/>
  <c r="AZ20" i="1" s="1"/>
  <c r="AZ21" i="1" s="1"/>
  <c r="BA19" i="1"/>
  <c r="BA20" i="1" s="1"/>
  <c r="BA21" i="1" s="1"/>
  <c r="BB19" i="1"/>
  <c r="BB20" i="1" s="1"/>
  <c r="BB21" i="1" s="1"/>
  <c r="BC19" i="1"/>
  <c r="BC20" i="1" s="1"/>
  <c r="BC21" i="1" s="1"/>
  <c r="BD19" i="1"/>
  <c r="BD20" i="1" s="1"/>
  <c r="BD21" i="1" s="1"/>
  <c r="BE19" i="1"/>
  <c r="BE20" i="1" s="1"/>
  <c r="BE21" i="1" s="1"/>
  <c r="BF19" i="1"/>
  <c r="BF20" i="1" s="1"/>
  <c r="BF21" i="1" s="1"/>
  <c r="BG19" i="1"/>
  <c r="BG20" i="1" s="1"/>
  <c r="BG21" i="1" s="1"/>
  <c r="BH19" i="1"/>
  <c r="BH20" i="1" s="1"/>
  <c r="BH21" i="1" s="1"/>
  <c r="BI19" i="1"/>
  <c r="BI20" i="1" s="1"/>
  <c r="BI21" i="1" s="1"/>
  <c r="BJ19" i="1"/>
  <c r="BJ20" i="1" s="1"/>
  <c r="BJ21" i="1" s="1"/>
  <c r="BK19" i="1"/>
  <c r="BK20" i="1" s="1"/>
  <c r="BK21" i="1" s="1"/>
  <c r="BL19" i="1"/>
  <c r="BL20" i="1" s="1"/>
  <c r="BL21" i="1" s="1"/>
  <c r="BM19" i="1"/>
  <c r="BM20" i="1" s="1"/>
  <c r="BM21" i="1" s="1"/>
  <c r="BN19" i="1"/>
  <c r="BN20" i="1" s="1"/>
  <c r="BN21" i="1" s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B19" i="1" l="1"/>
  <c r="B20" i="1" l="1"/>
  <c r="D3" i="3" l="1"/>
  <c r="D2" i="3"/>
  <c r="C3" i="3"/>
  <c r="C5" i="3"/>
  <c r="C2" i="3"/>
  <c r="E3" i="3"/>
  <c r="E2" i="3"/>
  <c r="F2" i="3"/>
  <c r="C4" i="3" l="1"/>
  <c r="E4" i="3"/>
  <c r="F3" i="3"/>
</calcChain>
</file>

<file path=xl/sharedStrings.xml><?xml version="1.0" encoding="utf-8"?>
<sst xmlns="http://schemas.openxmlformats.org/spreadsheetml/2006/main" count="46" uniqueCount="43">
  <si>
    <t>pav</t>
  </si>
  <si>
    <t>MAX</t>
  </si>
  <si>
    <t>10ASZ1</t>
  </si>
  <si>
    <t>10ASZ2</t>
  </si>
  <si>
    <t>10BSZ1</t>
  </si>
  <si>
    <t>10BSZ2</t>
  </si>
  <si>
    <t>John Doe</t>
  </si>
  <si>
    <t>input</t>
  </si>
  <si>
    <t>loop</t>
  </si>
  <si>
    <t>check</t>
  </si>
  <si>
    <t>output</t>
  </si>
  <si>
    <t>felszin</t>
  </si>
  <si>
    <t>terfogat</t>
  </si>
  <si>
    <t>kerulet</t>
  </si>
  <si>
    <t>terulet</t>
  </si>
  <si>
    <t>class</t>
  </si>
  <si>
    <t>read + len</t>
  </si>
  <si>
    <t>avg</t>
  </si>
  <si>
    <t>max</t>
  </si>
  <si>
    <t>hatved%</t>
  </si>
  <si>
    <t>vaneinput</t>
  </si>
  <si>
    <t>score</t>
  </si>
  <si>
    <t>percent</t>
  </si>
  <si>
    <t>grade</t>
  </si>
  <si>
    <t>10A1</t>
  </si>
  <si>
    <t>10A2</t>
  </si>
  <si>
    <t>10B1</t>
  </si>
  <si>
    <t>10B2</t>
  </si>
  <si>
    <t>TZ1</t>
  </si>
  <si>
    <t>%</t>
  </si>
  <si>
    <t>grd</t>
  </si>
  <si>
    <t>tz</t>
  </si>
  <si>
    <t>zh</t>
  </si>
  <si>
    <t>db</t>
  </si>
  <si>
    <t>1_1</t>
  </si>
  <si>
    <t>1_2</t>
  </si>
  <si>
    <t>2_2</t>
  </si>
  <si>
    <t>2_3</t>
  </si>
  <si>
    <t>3_3</t>
  </si>
  <si>
    <t>3_4</t>
  </si>
  <si>
    <t>4_4</t>
  </si>
  <si>
    <t>4_5</t>
  </si>
  <si>
    <t>5_5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</si>
</sst>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color theme="4" tint="-0.249977111117893"/>
      <name val="Calibri"/>
      <family val="2"/>
      <charset val="238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color theme="4" tint="0.39997558519241921"/>
      <name val="Calibri"/>
      <family val="2"/>
      <charset val="238"/>
      <scheme val="minor"/>
    </font>
    <font>
      <b/>
      <sz val="12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  <scheme val="minor"/>
    </font>
    <font>
      <b/>
      <sz val="11"/>
      <color theme="9" tint="0.3999755851924192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sz val="11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4" xfId="0" applyFont="1" applyBorder="1" applyAlignment="1">
      <alignment horizontal="center" textRotation="90"/>
    </xf>
    <xf numFmtId="0" fontId="5" fillId="0" borderId="4" xfId="0" applyFont="1" applyBorder="1" applyAlignment="1">
      <alignment horizontal="center" textRotation="90"/>
    </xf>
    <xf numFmtId="0" fontId="5" fillId="0" borderId="6" xfId="0" applyFont="1" applyBorder="1" applyAlignment="1">
      <alignment horizontal="center" textRotation="90"/>
    </xf>
    <xf numFmtId="0" fontId="8" fillId="0" borderId="4" xfId="0" applyFont="1" applyBorder="1" applyAlignment="1">
      <alignment horizontal="center" textRotation="90"/>
    </xf>
    <xf numFmtId="0" fontId="8" fillId="0" borderId="5" xfId="0" applyFont="1" applyBorder="1" applyAlignment="1">
      <alignment horizontal="center" textRotation="90"/>
    </xf>
    <xf numFmtId="0" fontId="9" fillId="0" borderId="4" xfId="0" applyFont="1" applyBorder="1" applyAlignment="1">
      <alignment horizontal="center" textRotation="90"/>
    </xf>
    <xf numFmtId="0" fontId="10" fillId="0" borderId="4" xfId="0" applyFont="1" applyBorder="1" applyAlignment="1">
      <alignment horizontal="center" textRotation="90"/>
    </xf>
    <xf numFmtId="0" fontId="11" fillId="0" borderId="4" xfId="0" applyFont="1" applyBorder="1" applyAlignment="1">
      <alignment horizontal="center" textRotation="90"/>
    </xf>
    <xf numFmtId="0" fontId="4" fillId="0" borderId="4" xfId="0" applyFont="1" applyBorder="1" applyAlignment="1">
      <alignment horizontal="left" textRotation="90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0" borderId="5" xfId="0" applyFont="1" applyBorder="1" applyAlignment="1">
      <alignment horizontal="center" textRotation="90"/>
    </xf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2" fillId="9" borderId="5" xfId="0" applyFont="1" applyFill="1" applyBorder="1" applyAlignment="1">
      <alignment horizontal="center" textRotation="90"/>
    </xf>
    <xf numFmtId="0" fontId="0" fillId="9" borderId="1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12" xfId="0" applyFont="1" applyBorder="1"/>
    <xf numFmtId="0" fontId="14" fillId="0" borderId="14" xfId="0" applyFont="1" applyBorder="1"/>
    <xf numFmtId="0" fontId="3" fillId="0" borderId="19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1" fontId="3" fillId="9" borderId="0" xfId="1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0" fontId="0" fillId="10" borderId="0" xfId="0" applyFill="1" applyAlignment="1">
      <alignment horizontal="center" vertical="center" textRotation="90"/>
    </xf>
    <xf numFmtId="0" fontId="0" fillId="11" borderId="0" xfId="0" applyFill="1" applyAlignment="1">
      <alignment horizontal="center" vertical="center" textRotation="90"/>
    </xf>
    <xf numFmtId="0" fontId="0" fillId="4" borderId="0" xfId="0" applyFill="1" applyAlignment="1">
      <alignment horizontal="center" vertical="center" textRotation="90"/>
    </xf>
    <xf numFmtId="0" fontId="0" fillId="12" borderId="0" xfId="0" applyFill="1" applyAlignment="1">
      <alignment horizontal="center" vertical="center" textRotation="90"/>
    </xf>
    <xf numFmtId="0" fontId="0" fillId="13" borderId="0" xfId="0" applyFill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textRotation="90"/>
    </xf>
    <xf numFmtId="0" fontId="10" fillId="0" borderId="6" xfId="0" applyFont="1" applyBorder="1" applyAlignment="1">
      <alignment horizontal="center" textRotation="90"/>
    </xf>
    <xf numFmtId="0" fontId="5" fillId="14" borderId="4" xfId="0" applyFont="1" applyFill="1" applyBorder="1" applyAlignment="1">
      <alignment horizontal="center" textRotation="90"/>
    </xf>
    <xf numFmtId="0" fontId="0" fillId="14" borderId="0" xfId="0" applyFill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9" fillId="15" borderId="4" xfId="0" applyFont="1" applyFill="1" applyBorder="1" applyAlignment="1">
      <alignment horizontal="center" textRotation="90"/>
    </xf>
    <xf numFmtId="0" fontId="0" fillId="15" borderId="0" xfId="0" applyFill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textRotation="90"/>
    </xf>
    <xf numFmtId="0" fontId="10" fillId="16" borderId="4" xfId="0" applyFont="1" applyFill="1" applyBorder="1" applyAlignment="1">
      <alignment horizontal="center" textRotation="90"/>
    </xf>
    <xf numFmtId="0" fontId="0" fillId="16" borderId="0" xfId="0" applyFill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11" fillId="19" borderId="4" xfId="0" applyFont="1" applyFill="1" applyBorder="1" applyAlignment="1">
      <alignment horizontal="center" textRotation="90"/>
    </xf>
    <xf numFmtId="0" fontId="0" fillId="19" borderId="0" xfId="0" applyFill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6" borderId="16" xfId="0" applyFont="1" applyFill="1" applyBorder="1" applyAlignment="1">
      <alignment horizontal="center"/>
    </xf>
    <xf numFmtId="0" fontId="13" fillId="6" borderId="17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7" borderId="17" xfId="0" applyFont="1" applyFill="1" applyBorder="1" applyAlignment="1">
      <alignment horizontal="center"/>
    </xf>
    <xf numFmtId="0" fontId="13" fillId="8" borderId="16" xfId="0" applyFont="1" applyFill="1" applyBorder="1" applyAlignment="1">
      <alignment horizontal="center"/>
    </xf>
    <xf numFmtId="0" fontId="13" fillId="8" borderId="17" xfId="0" applyFont="1" applyFill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N22"/>
  <sheetViews>
    <sheetView tabSelected="1"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X10" sqref="X10"/>
    </sheetView>
  </sheetViews>
  <sheetFormatPr defaultColWidth="9.140625" defaultRowHeight="15" x14ac:dyDescent="0.25"/>
  <cols>
    <col min="1" max="1" width="19" style="15" bestFit="1" customWidth="1"/>
    <col min="2" max="2" width="4.28515625" style="4" bestFit="1" customWidth="1"/>
    <col min="3" max="3" width="4.140625" style="1" bestFit="1" customWidth="1"/>
    <col min="4" max="4" width="5.140625" style="1" bestFit="1" customWidth="1"/>
    <col min="5" max="8" width="4.140625" style="1" bestFit="1" customWidth="1"/>
    <col min="9" max="9" width="5.140625" style="1" bestFit="1" customWidth="1"/>
    <col min="10" max="10" width="4.140625" style="1" bestFit="1" customWidth="1"/>
    <col min="11" max="12" width="5.140625" style="1" bestFit="1" customWidth="1"/>
    <col min="13" max="13" width="4.140625" style="1" bestFit="1" customWidth="1"/>
    <col min="14" max="14" width="3.85546875" style="1" bestFit="1" customWidth="1"/>
    <col min="15" max="17" width="4.140625" style="1" bestFit="1" customWidth="1"/>
    <col min="18" max="18" width="4.42578125" style="1" bestFit="1" customWidth="1"/>
    <col min="19" max="19" width="4.140625" style="5" bestFit="1" customWidth="1"/>
    <col min="20" max="21" width="3.7109375" style="1" bestFit="1" customWidth="1"/>
    <col min="22" max="22" width="5.140625" style="1" bestFit="1" customWidth="1"/>
    <col min="23" max="26" width="4.140625" style="1" bestFit="1" customWidth="1"/>
    <col min="27" max="27" width="3.7109375" style="1" bestFit="1" customWidth="1"/>
    <col min="28" max="28" width="4.140625" style="1" bestFit="1" customWidth="1"/>
    <col min="29" max="30" width="3.7109375" style="1" bestFit="1" customWidth="1"/>
    <col min="31" max="31" width="4.140625" style="1" bestFit="1" customWidth="1"/>
    <col min="32" max="33" width="5.140625" style="1" bestFit="1" customWidth="1"/>
    <col min="34" max="35" width="4.140625" style="1" bestFit="1" customWidth="1"/>
    <col min="36" max="36" width="3.5703125" style="4" bestFit="1" customWidth="1"/>
    <col min="37" max="37" width="3.7109375" style="1" bestFit="1" customWidth="1"/>
    <col min="38" max="38" width="4.140625" style="1" bestFit="1" customWidth="1"/>
    <col min="39" max="39" width="3.5703125" style="1" bestFit="1" customWidth="1"/>
    <col min="40" max="41" width="4.140625" style="1" bestFit="1" customWidth="1"/>
    <col min="42" max="42" width="3.5703125" style="1" bestFit="1" customWidth="1"/>
    <col min="43" max="46" width="4.140625" style="1" bestFit="1" customWidth="1"/>
    <col min="47" max="47" width="3.7109375" style="1" bestFit="1" customWidth="1"/>
    <col min="48" max="50" width="4.140625" style="1" bestFit="1" customWidth="1"/>
    <col min="51" max="51" width="4.140625" style="5" bestFit="1" customWidth="1"/>
    <col min="52" max="56" width="4.140625" style="1" bestFit="1" customWidth="1"/>
    <col min="57" max="57" width="5.140625" style="1" bestFit="1" customWidth="1"/>
    <col min="58" max="58" width="4.140625" style="1" bestFit="1" customWidth="1"/>
    <col min="59" max="60" width="5.140625" style="1" bestFit="1" customWidth="1"/>
    <col min="61" max="63" width="4.140625" style="1" bestFit="1" customWidth="1"/>
    <col min="64" max="64" width="3.7109375" style="1" bestFit="1" customWidth="1"/>
    <col min="65" max="65" width="4.140625" style="1" bestFit="1" customWidth="1"/>
    <col min="66" max="66" width="4.140625" style="4" bestFit="1" customWidth="1"/>
    <col min="67" max="16384" width="9.140625" style="1"/>
  </cols>
  <sheetData>
    <row r="1" spans="1:66" s="2" customFormat="1" ht="38.25" customHeight="1" x14ac:dyDescent="0.25">
      <c r="A1" s="2" t="s">
        <v>0</v>
      </c>
      <c r="B1" s="3" t="s">
        <v>1</v>
      </c>
      <c r="C1" s="78" t="s">
        <v>2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9"/>
      <c r="T1" s="70" t="s">
        <v>3</v>
      </c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2"/>
      <c r="AK1" s="73" t="s">
        <v>4</v>
      </c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4"/>
      <c r="AZ1" s="75" t="s">
        <v>5</v>
      </c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7"/>
    </row>
    <row r="2" spans="1:66" s="6" customFormat="1" ht="52.5" x14ac:dyDescent="0.25">
      <c r="A2" s="14"/>
      <c r="B2" s="27" t="s">
        <v>6</v>
      </c>
      <c r="C2" s="7"/>
      <c r="D2" s="7"/>
      <c r="E2" s="7"/>
      <c r="F2" s="7"/>
      <c r="G2" s="51"/>
      <c r="H2" s="49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10"/>
      <c r="AK2" s="11"/>
      <c r="AL2" s="54"/>
      <c r="AM2" s="12"/>
      <c r="AN2" s="12"/>
      <c r="AO2" s="12"/>
      <c r="AP2" s="12"/>
      <c r="AQ2" s="12"/>
      <c r="AR2" s="57"/>
      <c r="AS2" s="12"/>
      <c r="AT2" s="12"/>
      <c r="AU2" s="58"/>
      <c r="AV2" s="12"/>
      <c r="AW2" s="12"/>
      <c r="AX2" s="58"/>
      <c r="AY2" s="50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67"/>
      <c r="BL2" s="67"/>
      <c r="BM2" s="13"/>
      <c r="BN2" s="20"/>
    </row>
    <row r="3" spans="1:66" x14ac:dyDescent="0.25">
      <c r="A3" s="15" t="s">
        <v>7</v>
      </c>
      <c r="B3" s="28">
        <v>2</v>
      </c>
      <c r="C3" s="1">
        <v>2</v>
      </c>
      <c r="D3" s="1">
        <v>2</v>
      </c>
      <c r="E3" s="1">
        <v>2</v>
      </c>
      <c r="F3" s="1">
        <v>2</v>
      </c>
      <c r="G3" s="52">
        <v>2</v>
      </c>
      <c r="H3" s="47">
        <v>2</v>
      </c>
      <c r="I3" s="1">
        <v>2</v>
      </c>
      <c r="J3" s="1">
        <v>2</v>
      </c>
      <c r="K3" s="1">
        <v>2</v>
      </c>
      <c r="L3" s="1">
        <v>2</v>
      </c>
      <c r="M3" s="1">
        <v>0</v>
      </c>
      <c r="N3" s="1">
        <v>2</v>
      </c>
      <c r="O3" s="1">
        <v>2</v>
      </c>
      <c r="P3" s="1">
        <v>2</v>
      </c>
      <c r="Q3" s="1">
        <v>2</v>
      </c>
      <c r="R3" s="1">
        <v>2</v>
      </c>
      <c r="S3" s="5">
        <v>2</v>
      </c>
      <c r="T3" s="1">
        <v>2</v>
      </c>
      <c r="U3" s="1">
        <v>2</v>
      </c>
      <c r="V3" s="1">
        <v>2</v>
      </c>
      <c r="W3" s="1">
        <v>2</v>
      </c>
      <c r="X3" s="1">
        <v>0</v>
      </c>
      <c r="Y3" s="1">
        <v>2</v>
      </c>
      <c r="Z3" s="1">
        <v>2</v>
      </c>
      <c r="AA3" s="1">
        <v>2</v>
      </c>
      <c r="AB3" s="1">
        <v>1</v>
      </c>
      <c r="AC3" s="1">
        <v>2</v>
      </c>
      <c r="AD3" s="1">
        <v>2</v>
      </c>
      <c r="AE3" s="1">
        <v>0</v>
      </c>
      <c r="AF3" s="1">
        <v>2</v>
      </c>
      <c r="AG3" s="1">
        <v>2</v>
      </c>
      <c r="AH3" s="1">
        <v>2</v>
      </c>
      <c r="AI3" s="1">
        <v>0</v>
      </c>
      <c r="AJ3" s="4">
        <v>2</v>
      </c>
      <c r="AK3" s="62">
        <v>2</v>
      </c>
      <c r="AL3" s="64">
        <v>2</v>
      </c>
      <c r="AM3" s="59">
        <v>2</v>
      </c>
      <c r="AN3" s="64">
        <v>2</v>
      </c>
      <c r="AO3" s="64">
        <v>2</v>
      </c>
      <c r="AP3" s="64">
        <v>2</v>
      </c>
      <c r="AQ3" s="64">
        <v>2</v>
      </c>
      <c r="AR3" s="64">
        <v>2</v>
      </c>
      <c r="AS3" s="64">
        <v>2</v>
      </c>
      <c r="AT3" s="64">
        <v>2</v>
      </c>
      <c r="AU3" s="64">
        <v>2</v>
      </c>
      <c r="AV3" s="64">
        <v>2</v>
      </c>
      <c r="AW3" s="59">
        <v>2</v>
      </c>
      <c r="AX3" s="59">
        <v>2</v>
      </c>
      <c r="AY3" s="63">
        <v>2</v>
      </c>
      <c r="AZ3" s="62">
        <v>2</v>
      </c>
      <c r="BA3" s="1">
        <v>2</v>
      </c>
      <c r="BB3" s="65">
        <v>2</v>
      </c>
      <c r="BC3" s="1">
        <v>2</v>
      </c>
      <c r="BD3" s="65">
        <v>2</v>
      </c>
      <c r="BE3" s="1">
        <v>0</v>
      </c>
      <c r="BF3" s="1">
        <v>2</v>
      </c>
      <c r="BG3" s="1">
        <v>2</v>
      </c>
      <c r="BH3" s="65">
        <v>2</v>
      </c>
      <c r="BI3" s="1">
        <v>2</v>
      </c>
      <c r="BJ3" s="1">
        <v>0</v>
      </c>
      <c r="BK3" s="68">
        <v>2</v>
      </c>
      <c r="BL3" s="68">
        <v>2</v>
      </c>
      <c r="BM3" s="1">
        <v>2</v>
      </c>
      <c r="BN3" s="4">
        <v>2</v>
      </c>
    </row>
    <row r="4" spans="1:66" x14ac:dyDescent="0.25">
      <c r="A4" s="15" t="s">
        <v>8</v>
      </c>
      <c r="B4" s="28">
        <v>2</v>
      </c>
      <c r="C4" s="1">
        <v>2</v>
      </c>
      <c r="D4" s="1">
        <v>2</v>
      </c>
      <c r="E4" s="1">
        <v>2</v>
      </c>
      <c r="F4" s="1">
        <v>2</v>
      </c>
      <c r="G4" s="52">
        <v>2</v>
      </c>
      <c r="H4" s="47">
        <v>2</v>
      </c>
      <c r="I4" s="1">
        <v>1</v>
      </c>
      <c r="J4" s="1">
        <v>0</v>
      </c>
      <c r="K4" s="1">
        <v>1</v>
      </c>
      <c r="L4" s="1">
        <v>1</v>
      </c>
      <c r="M4" s="1">
        <v>0</v>
      </c>
      <c r="N4" s="1">
        <v>2</v>
      </c>
      <c r="O4" s="1">
        <v>2</v>
      </c>
      <c r="P4" s="1">
        <v>2</v>
      </c>
      <c r="Q4" s="1">
        <v>2</v>
      </c>
      <c r="R4" s="1">
        <v>1</v>
      </c>
      <c r="S4" s="5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4">
        <v>1</v>
      </c>
      <c r="AK4" s="62">
        <v>2</v>
      </c>
      <c r="AL4" s="64">
        <v>2</v>
      </c>
      <c r="AM4" s="59">
        <v>1</v>
      </c>
      <c r="AN4" s="64">
        <v>2</v>
      </c>
      <c r="AO4" s="64">
        <v>2</v>
      </c>
      <c r="AP4" s="64">
        <v>2</v>
      </c>
      <c r="AQ4" s="64">
        <v>2</v>
      </c>
      <c r="AR4" s="64">
        <v>2</v>
      </c>
      <c r="AS4" s="64">
        <v>2</v>
      </c>
      <c r="AT4" s="64">
        <v>2</v>
      </c>
      <c r="AU4" s="64">
        <v>2</v>
      </c>
      <c r="AV4" s="64">
        <v>2</v>
      </c>
      <c r="AW4" s="59">
        <v>1</v>
      </c>
      <c r="AX4" s="59">
        <v>2</v>
      </c>
      <c r="AY4" s="63">
        <v>2</v>
      </c>
      <c r="AZ4" s="62">
        <v>2</v>
      </c>
      <c r="BA4" s="1">
        <v>2</v>
      </c>
      <c r="BB4" s="65">
        <v>2</v>
      </c>
      <c r="BC4" s="1">
        <v>2</v>
      </c>
      <c r="BD4" s="65">
        <v>2</v>
      </c>
      <c r="BE4" s="1">
        <v>0</v>
      </c>
      <c r="BF4" s="1">
        <v>2</v>
      </c>
      <c r="BG4" s="1">
        <v>2</v>
      </c>
      <c r="BH4" s="65">
        <v>2</v>
      </c>
      <c r="BI4" s="1">
        <v>0</v>
      </c>
      <c r="BJ4" s="1">
        <v>0</v>
      </c>
      <c r="BK4" s="68">
        <v>1</v>
      </c>
      <c r="BL4" s="68">
        <v>0</v>
      </c>
      <c r="BM4" s="1">
        <v>0</v>
      </c>
      <c r="BN4" s="4">
        <v>1</v>
      </c>
    </row>
    <row r="5" spans="1:66" x14ac:dyDescent="0.25">
      <c r="A5" s="15" t="s">
        <v>9</v>
      </c>
      <c r="B5" s="28">
        <v>2</v>
      </c>
      <c r="C5" s="1">
        <v>2</v>
      </c>
      <c r="D5" s="1">
        <v>2</v>
      </c>
      <c r="E5" s="1">
        <v>2</v>
      </c>
      <c r="F5" s="1">
        <v>2</v>
      </c>
      <c r="G5" s="52">
        <v>2</v>
      </c>
      <c r="H5" s="47">
        <v>2</v>
      </c>
      <c r="I5" s="1">
        <v>2</v>
      </c>
      <c r="J5" s="1">
        <v>0</v>
      </c>
      <c r="K5" s="1">
        <v>0</v>
      </c>
      <c r="L5" s="1">
        <v>1</v>
      </c>
      <c r="M5" s="1">
        <v>0</v>
      </c>
      <c r="N5" s="1">
        <v>2</v>
      </c>
      <c r="O5" s="1">
        <v>2</v>
      </c>
      <c r="P5" s="1">
        <v>2</v>
      </c>
      <c r="Q5" s="1">
        <v>2</v>
      </c>
      <c r="R5" s="1">
        <v>2</v>
      </c>
      <c r="S5" s="5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0</v>
      </c>
      <c r="AJ5" s="4">
        <v>0</v>
      </c>
      <c r="AK5" s="62">
        <v>2</v>
      </c>
      <c r="AL5" s="64">
        <v>2</v>
      </c>
      <c r="AM5" s="59">
        <v>2</v>
      </c>
      <c r="AN5" s="64">
        <v>2</v>
      </c>
      <c r="AO5" s="64">
        <v>2</v>
      </c>
      <c r="AP5" s="64">
        <v>2</v>
      </c>
      <c r="AQ5" s="64">
        <v>2</v>
      </c>
      <c r="AR5" s="64">
        <v>2</v>
      </c>
      <c r="AS5" s="64">
        <v>2</v>
      </c>
      <c r="AT5" s="64">
        <v>2</v>
      </c>
      <c r="AU5" s="64">
        <v>2</v>
      </c>
      <c r="AV5" s="64">
        <v>2</v>
      </c>
      <c r="AW5" s="59">
        <v>2</v>
      </c>
      <c r="AX5" s="59">
        <v>2</v>
      </c>
      <c r="AY5" s="63">
        <v>2</v>
      </c>
      <c r="AZ5" s="62">
        <v>2</v>
      </c>
      <c r="BA5" s="1">
        <v>2</v>
      </c>
      <c r="BB5" s="65">
        <v>2</v>
      </c>
      <c r="BC5" s="1">
        <v>2</v>
      </c>
      <c r="BD5" s="65">
        <v>2</v>
      </c>
      <c r="BE5" s="1">
        <v>0</v>
      </c>
      <c r="BF5" s="1">
        <v>1</v>
      </c>
      <c r="BG5" s="1">
        <v>2</v>
      </c>
      <c r="BH5" s="65">
        <v>2</v>
      </c>
      <c r="BI5" s="1">
        <v>0</v>
      </c>
      <c r="BJ5" s="1">
        <v>0</v>
      </c>
      <c r="BK5" s="68">
        <v>2</v>
      </c>
      <c r="BL5" s="68">
        <v>0</v>
      </c>
      <c r="BM5" s="1">
        <v>0</v>
      </c>
      <c r="BN5" s="4">
        <v>0</v>
      </c>
    </row>
    <row r="6" spans="1:66" x14ac:dyDescent="0.25">
      <c r="A6" s="15" t="s">
        <v>10</v>
      </c>
      <c r="B6" s="28">
        <v>2</v>
      </c>
      <c r="C6" s="1">
        <v>2</v>
      </c>
      <c r="D6" s="1">
        <v>2</v>
      </c>
      <c r="E6" s="1">
        <v>2</v>
      </c>
      <c r="F6" s="1">
        <v>1</v>
      </c>
      <c r="G6" s="52">
        <v>2</v>
      </c>
      <c r="H6" s="47">
        <v>2</v>
      </c>
      <c r="I6" s="1">
        <v>2</v>
      </c>
      <c r="J6" s="1">
        <v>0</v>
      </c>
      <c r="K6" s="1">
        <v>0</v>
      </c>
      <c r="L6" s="1">
        <v>1</v>
      </c>
      <c r="M6" s="1">
        <v>0</v>
      </c>
      <c r="N6" s="1">
        <v>2</v>
      </c>
      <c r="O6" s="1">
        <v>2</v>
      </c>
      <c r="P6" s="1">
        <v>2</v>
      </c>
      <c r="Q6" s="1">
        <v>2</v>
      </c>
      <c r="R6" s="1">
        <v>2</v>
      </c>
      <c r="S6" s="5">
        <v>0</v>
      </c>
      <c r="T6" s="1">
        <v>0</v>
      </c>
      <c r="U6" s="1">
        <v>2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4">
        <v>0</v>
      </c>
      <c r="AK6" s="62">
        <v>2</v>
      </c>
      <c r="AL6" s="64">
        <v>1</v>
      </c>
      <c r="AM6" s="59">
        <v>2</v>
      </c>
      <c r="AN6" s="64">
        <v>1</v>
      </c>
      <c r="AO6" s="64">
        <v>1</v>
      </c>
      <c r="AP6" s="64">
        <v>1</v>
      </c>
      <c r="AQ6" s="64">
        <v>1</v>
      </c>
      <c r="AR6" s="64">
        <v>1</v>
      </c>
      <c r="AS6" s="64">
        <v>1</v>
      </c>
      <c r="AT6" s="64">
        <v>1</v>
      </c>
      <c r="AU6" s="64">
        <v>1</v>
      </c>
      <c r="AV6" s="64">
        <v>1</v>
      </c>
      <c r="AW6" s="59">
        <v>2</v>
      </c>
      <c r="AX6" s="59">
        <v>1</v>
      </c>
      <c r="AY6" s="63">
        <v>2</v>
      </c>
      <c r="AZ6" s="62">
        <v>2</v>
      </c>
      <c r="BA6" s="1">
        <v>1</v>
      </c>
      <c r="BB6" s="65">
        <v>1</v>
      </c>
      <c r="BC6" s="1">
        <v>2</v>
      </c>
      <c r="BD6" s="65">
        <v>1</v>
      </c>
      <c r="BE6" s="1">
        <v>0</v>
      </c>
      <c r="BF6" s="1">
        <v>2</v>
      </c>
      <c r="BG6" s="1">
        <v>1</v>
      </c>
      <c r="BH6" s="65">
        <v>1</v>
      </c>
      <c r="BI6" s="1">
        <v>0</v>
      </c>
      <c r="BJ6" s="1">
        <v>0</v>
      </c>
      <c r="BK6" s="68">
        <v>2</v>
      </c>
      <c r="BL6" s="68">
        <v>0</v>
      </c>
      <c r="BM6" s="1">
        <v>0</v>
      </c>
      <c r="BN6" s="4">
        <v>1</v>
      </c>
    </row>
    <row r="7" spans="1:66" s="18" customFormat="1" x14ac:dyDescent="0.25">
      <c r="A7" s="16" t="s">
        <v>7</v>
      </c>
      <c r="B7" s="29">
        <v>2</v>
      </c>
      <c r="C7" s="18">
        <v>2</v>
      </c>
      <c r="D7" s="18">
        <v>2</v>
      </c>
      <c r="E7" s="18">
        <v>2</v>
      </c>
      <c r="F7" s="18">
        <v>2</v>
      </c>
      <c r="G7" s="53">
        <v>2</v>
      </c>
      <c r="H7" s="48">
        <v>2</v>
      </c>
      <c r="I7" s="18">
        <v>2</v>
      </c>
      <c r="J7" s="18">
        <v>0</v>
      </c>
      <c r="K7" s="18">
        <v>1</v>
      </c>
      <c r="L7" s="18">
        <v>2</v>
      </c>
      <c r="M7" s="18">
        <v>0</v>
      </c>
      <c r="N7" s="18">
        <v>0</v>
      </c>
      <c r="O7" s="18">
        <v>2</v>
      </c>
      <c r="P7" s="18">
        <v>1</v>
      </c>
      <c r="Q7" s="18">
        <v>2</v>
      </c>
      <c r="R7" s="18">
        <v>2</v>
      </c>
      <c r="S7" s="19">
        <v>0</v>
      </c>
      <c r="T7" s="18">
        <v>2</v>
      </c>
      <c r="U7" s="18">
        <v>2</v>
      </c>
      <c r="V7" s="18">
        <v>2</v>
      </c>
      <c r="W7" s="18">
        <v>0</v>
      </c>
      <c r="X7" s="18">
        <v>0</v>
      </c>
      <c r="Y7" s="18">
        <v>0</v>
      </c>
      <c r="Z7" s="18">
        <v>0</v>
      </c>
      <c r="AA7" s="18">
        <v>1</v>
      </c>
      <c r="AB7" s="18">
        <v>1</v>
      </c>
      <c r="AC7" s="18">
        <v>2</v>
      </c>
      <c r="AD7" s="18">
        <v>0</v>
      </c>
      <c r="AE7" s="18">
        <v>0</v>
      </c>
      <c r="AF7" s="18">
        <v>2</v>
      </c>
      <c r="AG7" s="18">
        <v>2</v>
      </c>
      <c r="AH7" s="18">
        <v>2</v>
      </c>
      <c r="AI7" s="18">
        <v>0</v>
      </c>
      <c r="AJ7" s="17">
        <v>2</v>
      </c>
      <c r="AK7" s="18">
        <v>2</v>
      </c>
      <c r="AL7" s="56">
        <v>2</v>
      </c>
      <c r="AM7" s="18">
        <v>2</v>
      </c>
      <c r="AN7" s="18">
        <v>2</v>
      </c>
      <c r="AO7" s="61">
        <v>2</v>
      </c>
      <c r="AP7" s="61">
        <v>2</v>
      </c>
      <c r="AQ7" s="18">
        <v>2</v>
      </c>
      <c r="AR7" s="56">
        <v>2</v>
      </c>
      <c r="AS7" s="18">
        <v>0</v>
      </c>
      <c r="AT7" s="61">
        <v>2</v>
      </c>
      <c r="AU7" s="60">
        <v>2</v>
      </c>
      <c r="AV7" s="18">
        <v>2</v>
      </c>
      <c r="AW7" s="18">
        <v>0</v>
      </c>
      <c r="AX7" s="60">
        <v>2</v>
      </c>
      <c r="AY7" s="19">
        <v>2</v>
      </c>
      <c r="AZ7" s="18">
        <v>2</v>
      </c>
      <c r="BA7" s="18">
        <v>2</v>
      </c>
      <c r="BB7" s="18">
        <v>0</v>
      </c>
      <c r="BC7" s="18">
        <v>2</v>
      </c>
      <c r="BD7" s="66">
        <v>2</v>
      </c>
      <c r="BE7" s="18">
        <v>0</v>
      </c>
      <c r="BF7" s="18">
        <v>2</v>
      </c>
      <c r="BG7" s="18">
        <v>2</v>
      </c>
      <c r="BH7" s="66">
        <v>2</v>
      </c>
      <c r="BI7" s="18">
        <v>2</v>
      </c>
      <c r="BJ7" s="18">
        <v>0</v>
      </c>
      <c r="BK7" s="69">
        <v>0</v>
      </c>
      <c r="BL7" s="69">
        <v>2</v>
      </c>
      <c r="BM7" s="18">
        <v>0</v>
      </c>
      <c r="BN7" s="17">
        <v>2</v>
      </c>
    </row>
    <row r="8" spans="1:66" x14ac:dyDescent="0.25">
      <c r="A8" s="15" t="s">
        <v>9</v>
      </c>
      <c r="B8" s="28">
        <v>2</v>
      </c>
      <c r="C8" s="1">
        <v>2</v>
      </c>
      <c r="D8" s="1">
        <v>1</v>
      </c>
      <c r="E8" s="1">
        <v>0</v>
      </c>
      <c r="F8" s="1">
        <v>0</v>
      </c>
      <c r="G8" s="52">
        <v>2</v>
      </c>
      <c r="H8" s="47">
        <v>2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2</v>
      </c>
      <c r="P8" s="1">
        <v>0</v>
      </c>
      <c r="Q8" s="1">
        <v>0</v>
      </c>
      <c r="R8" s="1">
        <v>0</v>
      </c>
      <c r="S8" s="5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2</v>
      </c>
      <c r="AG8" s="1">
        <v>0</v>
      </c>
      <c r="AH8" s="1">
        <v>0</v>
      </c>
      <c r="AI8" s="1">
        <v>0</v>
      </c>
      <c r="AJ8" s="4">
        <v>0</v>
      </c>
      <c r="AK8" s="1">
        <v>0</v>
      </c>
      <c r="AL8" s="55">
        <v>2</v>
      </c>
      <c r="AM8" s="1">
        <v>2</v>
      </c>
      <c r="AN8" s="1">
        <v>2</v>
      </c>
      <c r="AO8" s="62">
        <v>2</v>
      </c>
      <c r="AP8" s="62">
        <v>2</v>
      </c>
      <c r="AQ8" s="1">
        <v>0</v>
      </c>
      <c r="AR8" s="55">
        <v>2</v>
      </c>
      <c r="AS8" s="1">
        <v>0</v>
      </c>
      <c r="AT8" s="62">
        <v>2</v>
      </c>
      <c r="AU8" s="59">
        <v>2</v>
      </c>
      <c r="AV8" s="1">
        <v>2</v>
      </c>
      <c r="AW8" s="1">
        <v>0</v>
      </c>
      <c r="AX8" s="59">
        <v>2</v>
      </c>
      <c r="AY8" s="5">
        <v>2</v>
      </c>
      <c r="AZ8" s="1">
        <v>0</v>
      </c>
      <c r="BA8" s="1">
        <v>0</v>
      </c>
      <c r="BB8" s="1">
        <v>0</v>
      </c>
      <c r="BC8" s="1">
        <v>0</v>
      </c>
      <c r="BD8" s="65">
        <v>0</v>
      </c>
      <c r="BE8" s="1">
        <v>0</v>
      </c>
      <c r="BF8" s="1">
        <v>0</v>
      </c>
      <c r="BG8" s="1">
        <v>1</v>
      </c>
      <c r="BH8" s="65">
        <v>0</v>
      </c>
      <c r="BI8" s="1">
        <v>2</v>
      </c>
      <c r="BJ8" s="1">
        <v>0</v>
      </c>
      <c r="BK8" s="68">
        <v>0</v>
      </c>
      <c r="BL8" s="68">
        <v>0</v>
      </c>
      <c r="BM8" s="1">
        <v>0</v>
      </c>
      <c r="BN8" s="4">
        <v>0</v>
      </c>
    </row>
    <row r="9" spans="1:66" x14ac:dyDescent="0.25">
      <c r="A9" s="15" t="s">
        <v>11</v>
      </c>
      <c r="B9" s="28">
        <v>2</v>
      </c>
      <c r="C9" s="1">
        <v>2</v>
      </c>
      <c r="D9" s="1">
        <v>2</v>
      </c>
      <c r="E9" s="1">
        <v>2</v>
      </c>
      <c r="F9" s="1">
        <v>2</v>
      </c>
      <c r="G9" s="52">
        <v>2</v>
      </c>
      <c r="H9" s="47">
        <v>2</v>
      </c>
      <c r="I9" s="1">
        <v>2</v>
      </c>
      <c r="J9" s="1">
        <v>0</v>
      </c>
      <c r="K9" s="1">
        <v>2</v>
      </c>
      <c r="L9" s="1">
        <v>2</v>
      </c>
      <c r="M9" s="1">
        <v>0</v>
      </c>
      <c r="N9" s="1">
        <v>0</v>
      </c>
      <c r="O9" s="1">
        <v>2</v>
      </c>
      <c r="P9" s="1">
        <v>0</v>
      </c>
      <c r="Q9" s="1">
        <v>2</v>
      </c>
      <c r="R9" s="1">
        <v>2</v>
      </c>
      <c r="S9" s="5">
        <v>0</v>
      </c>
      <c r="T9" s="1">
        <v>2</v>
      </c>
      <c r="U9" s="1">
        <v>2</v>
      </c>
      <c r="V9" s="1">
        <v>2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</v>
      </c>
      <c r="AC9" s="1">
        <v>2</v>
      </c>
      <c r="AD9" s="1">
        <v>0</v>
      </c>
      <c r="AE9" s="1">
        <v>0</v>
      </c>
      <c r="AF9" s="1">
        <v>2</v>
      </c>
      <c r="AG9" s="1">
        <v>0</v>
      </c>
      <c r="AH9" s="1">
        <v>2</v>
      </c>
      <c r="AI9" s="1">
        <v>0</v>
      </c>
      <c r="AJ9" s="4">
        <v>2</v>
      </c>
      <c r="AK9" s="1">
        <v>2</v>
      </c>
      <c r="AL9" s="55">
        <v>2</v>
      </c>
      <c r="AM9" s="1">
        <v>2</v>
      </c>
      <c r="AN9" s="1">
        <v>2</v>
      </c>
      <c r="AO9" s="62">
        <v>2</v>
      </c>
      <c r="AP9" s="62">
        <v>2</v>
      </c>
      <c r="AQ9" s="1">
        <v>2</v>
      </c>
      <c r="AR9" s="55">
        <v>2</v>
      </c>
      <c r="AS9" s="1">
        <v>0</v>
      </c>
      <c r="AT9" s="62">
        <v>2</v>
      </c>
      <c r="AU9" s="59">
        <v>2</v>
      </c>
      <c r="AV9" s="1">
        <v>2</v>
      </c>
      <c r="AW9" s="1">
        <v>0</v>
      </c>
      <c r="AX9" s="59">
        <v>2</v>
      </c>
      <c r="AY9" s="5">
        <v>2</v>
      </c>
      <c r="AZ9" s="1">
        <v>2</v>
      </c>
      <c r="BA9" s="1">
        <v>2</v>
      </c>
      <c r="BB9" s="1">
        <v>0</v>
      </c>
      <c r="BC9" s="1">
        <v>2</v>
      </c>
      <c r="BD9" s="65">
        <v>2</v>
      </c>
      <c r="BE9" s="1">
        <v>0</v>
      </c>
      <c r="BF9" s="1">
        <v>2</v>
      </c>
      <c r="BG9" s="1">
        <v>2</v>
      </c>
      <c r="BH9" s="65">
        <v>2</v>
      </c>
      <c r="BI9" s="1">
        <v>2</v>
      </c>
      <c r="BJ9" s="1">
        <v>0</v>
      </c>
      <c r="BK9" s="68">
        <v>0</v>
      </c>
      <c r="BL9" s="68">
        <v>0</v>
      </c>
      <c r="BM9" s="1">
        <v>0</v>
      </c>
      <c r="BN9" s="4">
        <v>2</v>
      </c>
    </row>
    <row r="10" spans="1:66" x14ac:dyDescent="0.25">
      <c r="A10" s="15" t="s">
        <v>12</v>
      </c>
      <c r="B10" s="28">
        <v>2</v>
      </c>
      <c r="C10" s="1">
        <v>2</v>
      </c>
      <c r="D10" s="1">
        <v>2</v>
      </c>
      <c r="E10" s="1">
        <v>2</v>
      </c>
      <c r="F10" s="1">
        <v>2</v>
      </c>
      <c r="G10" s="52">
        <v>2</v>
      </c>
      <c r="H10" s="47">
        <v>2</v>
      </c>
      <c r="I10" s="1">
        <v>2</v>
      </c>
      <c r="J10" s="1">
        <v>0</v>
      </c>
      <c r="K10" s="1">
        <v>2</v>
      </c>
      <c r="L10" s="1">
        <v>2</v>
      </c>
      <c r="M10" s="1">
        <v>0</v>
      </c>
      <c r="N10" s="1">
        <v>0</v>
      </c>
      <c r="O10" s="1">
        <v>2</v>
      </c>
      <c r="P10" s="1">
        <v>1</v>
      </c>
      <c r="Q10" s="1">
        <v>2</v>
      </c>
      <c r="R10" s="1">
        <v>2</v>
      </c>
      <c r="S10" s="5">
        <v>0</v>
      </c>
      <c r="T10" s="1">
        <v>2</v>
      </c>
      <c r="U10" s="1">
        <v>2</v>
      </c>
      <c r="V10" s="1">
        <v>2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2</v>
      </c>
      <c r="AC10" s="1">
        <v>2</v>
      </c>
      <c r="AD10" s="1">
        <v>0</v>
      </c>
      <c r="AE10" s="1">
        <v>0</v>
      </c>
      <c r="AF10" s="1">
        <v>2</v>
      </c>
      <c r="AG10" s="1">
        <v>0</v>
      </c>
      <c r="AH10" s="1">
        <v>2</v>
      </c>
      <c r="AI10" s="1">
        <v>0</v>
      </c>
      <c r="AJ10" s="4">
        <v>2</v>
      </c>
      <c r="AK10" s="1">
        <v>2</v>
      </c>
      <c r="AL10" s="55">
        <v>2</v>
      </c>
      <c r="AM10" s="1">
        <v>2</v>
      </c>
      <c r="AN10" s="1">
        <v>2</v>
      </c>
      <c r="AO10" s="62">
        <v>2</v>
      </c>
      <c r="AP10" s="62">
        <v>2</v>
      </c>
      <c r="AQ10" s="1">
        <v>0</v>
      </c>
      <c r="AR10" s="55">
        <v>2</v>
      </c>
      <c r="AS10" s="1">
        <v>0</v>
      </c>
      <c r="AT10" s="62">
        <v>2</v>
      </c>
      <c r="AU10" s="59">
        <v>2</v>
      </c>
      <c r="AV10" s="1">
        <v>2</v>
      </c>
      <c r="AW10" s="1">
        <v>0</v>
      </c>
      <c r="AX10" s="59">
        <v>2</v>
      </c>
      <c r="AY10" s="5">
        <v>2</v>
      </c>
      <c r="AZ10" s="1">
        <v>2</v>
      </c>
      <c r="BA10" s="1">
        <v>2</v>
      </c>
      <c r="BB10" s="1">
        <v>0</v>
      </c>
      <c r="BC10" s="1">
        <v>2</v>
      </c>
      <c r="BD10" s="65">
        <v>2</v>
      </c>
      <c r="BE10" s="1">
        <v>0</v>
      </c>
      <c r="BF10" s="1">
        <v>2</v>
      </c>
      <c r="BG10" s="1">
        <v>2</v>
      </c>
      <c r="BH10" s="65">
        <v>2</v>
      </c>
      <c r="BI10" s="1">
        <v>2</v>
      </c>
      <c r="BJ10" s="1">
        <v>0</v>
      </c>
      <c r="BK10" s="68">
        <v>0</v>
      </c>
      <c r="BL10" s="68">
        <v>0</v>
      </c>
      <c r="BM10" s="1">
        <v>0</v>
      </c>
      <c r="BN10" s="4">
        <v>2</v>
      </c>
    </row>
    <row r="11" spans="1:66" x14ac:dyDescent="0.25">
      <c r="A11" s="15" t="s">
        <v>13</v>
      </c>
      <c r="B11" s="28">
        <v>3</v>
      </c>
      <c r="C11" s="1">
        <v>0</v>
      </c>
      <c r="D11" s="1">
        <v>0</v>
      </c>
      <c r="E11" s="1">
        <v>0</v>
      </c>
      <c r="F11" s="1">
        <v>0</v>
      </c>
      <c r="G11" s="52">
        <v>1</v>
      </c>
      <c r="H11" s="47">
        <v>1</v>
      </c>
      <c r="I11" s="1">
        <v>0</v>
      </c>
      <c r="J11" s="1">
        <v>0</v>
      </c>
      <c r="K11" s="1">
        <v>0</v>
      </c>
      <c r="L11" s="1">
        <v>3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5">
        <v>0</v>
      </c>
      <c r="T11" s="1">
        <v>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3</v>
      </c>
      <c r="AG11" s="1">
        <v>0</v>
      </c>
      <c r="AH11" s="1">
        <v>1</v>
      </c>
      <c r="AI11" s="1">
        <v>0</v>
      </c>
      <c r="AJ11" s="4">
        <v>0</v>
      </c>
      <c r="AK11" s="1">
        <v>3</v>
      </c>
      <c r="AL11" s="55">
        <v>1</v>
      </c>
      <c r="AM11" s="1">
        <v>0</v>
      </c>
      <c r="AN11" s="1">
        <v>0</v>
      </c>
      <c r="AO11" s="62">
        <v>3</v>
      </c>
      <c r="AP11" s="62">
        <v>3</v>
      </c>
      <c r="AQ11" s="1">
        <v>0</v>
      </c>
      <c r="AR11" s="55">
        <v>1</v>
      </c>
      <c r="AS11" s="1">
        <v>0</v>
      </c>
      <c r="AT11" s="62">
        <v>3</v>
      </c>
      <c r="AU11" s="59">
        <v>0</v>
      </c>
      <c r="AV11" s="1">
        <v>0</v>
      </c>
      <c r="AW11" s="1">
        <v>0</v>
      </c>
      <c r="AX11" s="59">
        <v>0</v>
      </c>
      <c r="AY11" s="5">
        <v>3</v>
      </c>
      <c r="AZ11" s="1">
        <v>3</v>
      </c>
      <c r="BA11" s="1">
        <v>0</v>
      </c>
      <c r="BB11" s="1">
        <v>0</v>
      </c>
      <c r="BC11" s="1">
        <v>1</v>
      </c>
      <c r="BD11" s="65">
        <v>0</v>
      </c>
      <c r="BE11" s="1">
        <v>0</v>
      </c>
      <c r="BF11" s="1">
        <v>2</v>
      </c>
      <c r="BG11" s="1">
        <v>3</v>
      </c>
      <c r="BH11" s="65">
        <v>0</v>
      </c>
      <c r="BI11" s="1">
        <v>3</v>
      </c>
      <c r="BJ11" s="1">
        <v>0</v>
      </c>
      <c r="BK11" s="68">
        <v>0</v>
      </c>
      <c r="BL11" s="68">
        <v>0</v>
      </c>
      <c r="BM11" s="1">
        <v>0</v>
      </c>
      <c r="BN11" s="4">
        <v>0</v>
      </c>
    </row>
    <row r="12" spans="1:66" x14ac:dyDescent="0.25">
      <c r="A12" s="15" t="s">
        <v>14</v>
      </c>
      <c r="B12" s="28">
        <v>3</v>
      </c>
      <c r="C12" s="1">
        <v>0</v>
      </c>
      <c r="D12" s="1">
        <v>0</v>
      </c>
      <c r="E12" s="1">
        <v>0</v>
      </c>
      <c r="F12" s="1">
        <v>0</v>
      </c>
      <c r="G12" s="52">
        <v>1</v>
      </c>
      <c r="H12" s="47">
        <v>1</v>
      </c>
      <c r="I12" s="1">
        <v>0</v>
      </c>
      <c r="J12" s="1">
        <v>0</v>
      </c>
      <c r="K12" s="1">
        <v>0</v>
      </c>
      <c r="L12" s="1">
        <v>2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5">
        <v>0</v>
      </c>
      <c r="T12" s="1">
        <v>0</v>
      </c>
      <c r="U12" s="1">
        <v>1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3</v>
      </c>
      <c r="AG12" s="1">
        <v>0</v>
      </c>
      <c r="AH12" s="1">
        <v>1</v>
      </c>
      <c r="AI12" s="1">
        <v>0</v>
      </c>
      <c r="AJ12" s="4">
        <v>0</v>
      </c>
      <c r="AK12" s="1">
        <v>0</v>
      </c>
      <c r="AL12" s="55">
        <v>1</v>
      </c>
      <c r="AM12" s="1">
        <v>0</v>
      </c>
      <c r="AN12" s="1">
        <v>0</v>
      </c>
      <c r="AO12" s="62">
        <v>3</v>
      </c>
      <c r="AP12" s="62">
        <v>3</v>
      </c>
      <c r="AQ12" s="1">
        <v>0</v>
      </c>
      <c r="AR12" s="55">
        <v>1</v>
      </c>
      <c r="AS12" s="1">
        <v>0</v>
      </c>
      <c r="AT12" s="62">
        <v>3</v>
      </c>
      <c r="AU12" s="59">
        <v>0</v>
      </c>
      <c r="AV12" s="1">
        <v>0</v>
      </c>
      <c r="AW12" s="1">
        <v>0</v>
      </c>
      <c r="AX12" s="59">
        <v>0</v>
      </c>
      <c r="AY12" s="5">
        <v>2</v>
      </c>
      <c r="AZ12" s="1">
        <v>3</v>
      </c>
      <c r="BA12" s="1">
        <v>0</v>
      </c>
      <c r="BB12" s="1">
        <v>0</v>
      </c>
      <c r="BC12" s="1">
        <v>0</v>
      </c>
      <c r="BD12" s="65">
        <v>0</v>
      </c>
      <c r="BE12" s="1">
        <v>0</v>
      </c>
      <c r="BF12" s="1">
        <v>0</v>
      </c>
      <c r="BG12" s="1">
        <v>3</v>
      </c>
      <c r="BH12" s="65">
        <v>0</v>
      </c>
      <c r="BI12" s="1">
        <v>0</v>
      </c>
      <c r="BJ12" s="1">
        <v>0</v>
      </c>
      <c r="BK12" s="68">
        <v>0</v>
      </c>
      <c r="BL12" s="68">
        <v>0</v>
      </c>
      <c r="BM12" s="1">
        <v>0</v>
      </c>
      <c r="BN12" s="4">
        <v>0</v>
      </c>
    </row>
    <row r="13" spans="1:66" s="18" customFormat="1" x14ac:dyDescent="0.25">
      <c r="A13" s="16" t="s">
        <v>15</v>
      </c>
      <c r="B13" s="29">
        <v>3</v>
      </c>
      <c r="C13" s="18">
        <v>0</v>
      </c>
      <c r="D13" s="18">
        <v>3</v>
      </c>
      <c r="E13" s="18">
        <v>0</v>
      </c>
      <c r="F13" s="18">
        <v>3</v>
      </c>
      <c r="G13" s="53">
        <v>0</v>
      </c>
      <c r="H13" s="48">
        <v>3</v>
      </c>
      <c r="I13" s="18">
        <v>3</v>
      </c>
      <c r="J13" s="18">
        <v>3</v>
      </c>
      <c r="K13" s="18">
        <v>3</v>
      </c>
      <c r="L13" s="18">
        <v>3</v>
      </c>
      <c r="M13" s="18">
        <v>0</v>
      </c>
      <c r="N13" s="18">
        <v>0</v>
      </c>
      <c r="O13" s="18">
        <v>2</v>
      </c>
      <c r="P13" s="18">
        <v>0</v>
      </c>
      <c r="Q13" s="18">
        <v>0</v>
      </c>
      <c r="R13" s="18">
        <v>3</v>
      </c>
      <c r="S13" s="19">
        <v>0</v>
      </c>
      <c r="T13" s="18">
        <v>1</v>
      </c>
      <c r="U13" s="18">
        <v>0</v>
      </c>
      <c r="V13" s="18">
        <v>2</v>
      </c>
      <c r="W13" s="18">
        <v>3</v>
      </c>
      <c r="X13" s="18">
        <v>2</v>
      </c>
      <c r="Y13" s="18">
        <v>3</v>
      </c>
      <c r="Z13" s="18">
        <v>0</v>
      </c>
      <c r="AA13" s="18">
        <v>1</v>
      </c>
      <c r="AB13" s="18">
        <v>3</v>
      </c>
      <c r="AC13" s="18">
        <v>0</v>
      </c>
      <c r="AD13" s="18">
        <v>3</v>
      </c>
      <c r="AE13" s="18">
        <v>0</v>
      </c>
      <c r="AF13" s="18">
        <v>3</v>
      </c>
      <c r="AG13" s="18">
        <v>1</v>
      </c>
      <c r="AH13" s="18">
        <v>3</v>
      </c>
      <c r="AI13" s="18">
        <v>0</v>
      </c>
      <c r="AJ13" s="17">
        <v>2</v>
      </c>
      <c r="AK13" s="18">
        <v>1</v>
      </c>
      <c r="AL13" s="18">
        <v>2</v>
      </c>
      <c r="AM13" s="18">
        <v>0</v>
      </c>
      <c r="AN13" s="18">
        <v>3</v>
      </c>
      <c r="AO13" s="18">
        <v>2</v>
      </c>
      <c r="AP13" s="18">
        <v>3</v>
      </c>
      <c r="AQ13" s="18">
        <v>3</v>
      </c>
      <c r="AR13" s="18">
        <v>3</v>
      </c>
      <c r="AS13" s="18">
        <v>3</v>
      </c>
      <c r="AT13" s="18">
        <v>2</v>
      </c>
      <c r="AU13" s="60">
        <v>2</v>
      </c>
      <c r="AV13" s="18">
        <v>3</v>
      </c>
      <c r="AW13" s="18">
        <v>2</v>
      </c>
      <c r="AX13" s="60">
        <v>2</v>
      </c>
      <c r="AY13" s="19">
        <v>0</v>
      </c>
      <c r="AZ13" s="18">
        <v>1</v>
      </c>
      <c r="BA13" s="18">
        <v>3</v>
      </c>
      <c r="BB13" s="18">
        <v>0</v>
      </c>
      <c r="BC13" s="18">
        <v>2</v>
      </c>
      <c r="BD13" s="18">
        <v>0</v>
      </c>
      <c r="BE13" s="18">
        <v>0</v>
      </c>
      <c r="BF13" s="18">
        <v>3</v>
      </c>
      <c r="BG13" s="18">
        <v>3</v>
      </c>
      <c r="BH13" s="18">
        <v>0</v>
      </c>
      <c r="BI13" s="18">
        <v>2</v>
      </c>
      <c r="BJ13" s="18">
        <v>3</v>
      </c>
      <c r="BK13" s="69">
        <v>0</v>
      </c>
      <c r="BL13" s="69">
        <v>0</v>
      </c>
      <c r="BM13" s="18">
        <v>1</v>
      </c>
      <c r="BN13" s="17">
        <v>3</v>
      </c>
    </row>
    <row r="14" spans="1:66" x14ac:dyDescent="0.25">
      <c r="A14" s="15" t="s">
        <v>16</v>
      </c>
      <c r="B14" s="28">
        <v>3</v>
      </c>
      <c r="C14" s="1">
        <v>1</v>
      </c>
      <c r="D14" s="1">
        <v>3</v>
      </c>
      <c r="E14" s="1">
        <v>1</v>
      </c>
      <c r="F14" s="1">
        <v>0</v>
      </c>
      <c r="G14" s="52">
        <v>0</v>
      </c>
      <c r="H14" s="47">
        <v>3</v>
      </c>
      <c r="I14" s="1">
        <v>3</v>
      </c>
      <c r="J14" s="1">
        <v>3</v>
      </c>
      <c r="K14" s="1">
        <v>2</v>
      </c>
      <c r="L14" s="1">
        <v>3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3</v>
      </c>
      <c r="S14" s="5">
        <v>0</v>
      </c>
      <c r="T14" s="1">
        <v>2</v>
      </c>
      <c r="U14" s="1">
        <v>0</v>
      </c>
      <c r="V14" s="1">
        <v>1</v>
      </c>
      <c r="W14" s="1">
        <v>3</v>
      </c>
      <c r="X14" s="1">
        <v>3</v>
      </c>
      <c r="Y14" s="1">
        <v>2</v>
      </c>
      <c r="Z14" s="1">
        <v>0</v>
      </c>
      <c r="AA14" s="1">
        <v>3</v>
      </c>
      <c r="AB14" s="1">
        <v>3</v>
      </c>
      <c r="AC14" s="1">
        <v>0</v>
      </c>
      <c r="AD14" s="1">
        <v>3</v>
      </c>
      <c r="AE14" s="1">
        <v>0</v>
      </c>
      <c r="AF14" s="1">
        <v>3</v>
      </c>
      <c r="AG14" s="1">
        <v>0</v>
      </c>
      <c r="AH14" s="1">
        <v>3</v>
      </c>
      <c r="AI14" s="1">
        <v>0</v>
      </c>
      <c r="AJ14" s="4">
        <v>3</v>
      </c>
      <c r="AK14" s="1">
        <v>2</v>
      </c>
      <c r="AL14" s="1">
        <v>1</v>
      </c>
      <c r="AM14" s="1">
        <v>1</v>
      </c>
      <c r="AN14" s="1">
        <v>3</v>
      </c>
      <c r="AO14" s="1">
        <v>0</v>
      </c>
      <c r="AP14" s="1">
        <v>2</v>
      </c>
      <c r="AQ14" s="1">
        <v>3</v>
      </c>
      <c r="AR14" s="1">
        <v>2</v>
      </c>
      <c r="AS14" s="1">
        <v>3</v>
      </c>
      <c r="AT14" s="1">
        <v>3</v>
      </c>
      <c r="AU14" s="59">
        <v>3</v>
      </c>
      <c r="AV14" s="1">
        <v>3</v>
      </c>
      <c r="AW14" s="1">
        <v>1</v>
      </c>
      <c r="AX14" s="59">
        <v>3</v>
      </c>
      <c r="AY14" s="5">
        <v>0</v>
      </c>
      <c r="AZ14" s="1">
        <v>2</v>
      </c>
      <c r="BA14" s="1">
        <v>3</v>
      </c>
      <c r="BB14" s="1">
        <v>0</v>
      </c>
      <c r="BC14" s="1">
        <v>2</v>
      </c>
      <c r="BD14" s="1">
        <v>0</v>
      </c>
      <c r="BE14" s="1">
        <v>0</v>
      </c>
      <c r="BF14" s="1">
        <v>3</v>
      </c>
      <c r="BG14" s="1">
        <v>3</v>
      </c>
      <c r="BH14" s="1">
        <v>0</v>
      </c>
      <c r="BI14" s="1">
        <v>1</v>
      </c>
      <c r="BJ14" s="1">
        <v>3</v>
      </c>
      <c r="BK14" s="68">
        <v>0</v>
      </c>
      <c r="BL14" s="68">
        <v>1</v>
      </c>
      <c r="BM14" s="1">
        <v>0</v>
      </c>
      <c r="BN14" s="4">
        <v>3</v>
      </c>
    </row>
    <row r="15" spans="1:66" x14ac:dyDescent="0.25">
      <c r="A15" s="15" t="s">
        <v>17</v>
      </c>
      <c r="B15" s="28">
        <v>3</v>
      </c>
      <c r="C15" s="1">
        <v>0</v>
      </c>
      <c r="D15" s="1">
        <v>0</v>
      </c>
      <c r="E15" s="1">
        <v>0</v>
      </c>
      <c r="F15" s="1">
        <v>0</v>
      </c>
      <c r="G15" s="52">
        <v>0</v>
      </c>
      <c r="H15" s="47">
        <v>3</v>
      </c>
      <c r="I15" s="1">
        <v>3</v>
      </c>
      <c r="J15" s="1">
        <v>2</v>
      </c>
      <c r="K15" s="1">
        <v>2</v>
      </c>
      <c r="L15" s="1">
        <v>2</v>
      </c>
      <c r="M15" s="1">
        <v>0</v>
      </c>
      <c r="N15" s="1">
        <v>0</v>
      </c>
      <c r="O15" s="1">
        <v>2</v>
      </c>
      <c r="P15" s="1">
        <v>0</v>
      </c>
      <c r="Q15" s="1">
        <v>0</v>
      </c>
      <c r="R15" s="1">
        <v>3</v>
      </c>
      <c r="S15" s="5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3</v>
      </c>
      <c r="AG15" s="1">
        <v>0</v>
      </c>
      <c r="AH15" s="1">
        <v>3</v>
      </c>
      <c r="AI15" s="1">
        <v>0</v>
      </c>
      <c r="AJ15" s="4">
        <v>3</v>
      </c>
      <c r="AK15" s="1">
        <v>0</v>
      </c>
      <c r="AL15" s="1">
        <v>0</v>
      </c>
      <c r="AM15" s="1">
        <v>0</v>
      </c>
      <c r="AN15" s="1">
        <v>2</v>
      </c>
      <c r="AO15" s="1">
        <v>0</v>
      </c>
      <c r="AP15" s="1">
        <v>0</v>
      </c>
      <c r="AQ15" s="1">
        <v>1</v>
      </c>
      <c r="AR15" s="1">
        <v>0</v>
      </c>
      <c r="AS15" s="1">
        <v>0</v>
      </c>
      <c r="AT15" s="1">
        <v>0</v>
      </c>
      <c r="AU15" s="59">
        <v>0</v>
      </c>
      <c r="AV15" s="1">
        <v>2</v>
      </c>
      <c r="AW15" s="1">
        <v>0</v>
      </c>
      <c r="AX15" s="59">
        <v>0</v>
      </c>
      <c r="AY15" s="5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3</v>
      </c>
      <c r="BG15" s="1">
        <v>3</v>
      </c>
      <c r="BH15" s="1">
        <v>0</v>
      </c>
      <c r="BI15" s="1">
        <v>0</v>
      </c>
      <c r="BJ15" s="1">
        <v>2</v>
      </c>
      <c r="BK15" s="68">
        <v>0</v>
      </c>
      <c r="BL15" s="68">
        <v>0</v>
      </c>
      <c r="BM15" s="1">
        <v>0</v>
      </c>
      <c r="BN15" s="4">
        <v>0</v>
      </c>
    </row>
    <row r="16" spans="1:66" x14ac:dyDescent="0.25">
      <c r="A16" s="15" t="s">
        <v>18</v>
      </c>
      <c r="B16" s="28">
        <v>3</v>
      </c>
      <c r="C16" s="1">
        <v>0</v>
      </c>
      <c r="D16" s="1">
        <v>0</v>
      </c>
      <c r="E16" s="1">
        <v>0</v>
      </c>
      <c r="F16" s="1">
        <v>0</v>
      </c>
      <c r="G16" s="52">
        <v>0</v>
      </c>
      <c r="H16" s="47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5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2</v>
      </c>
      <c r="AG16" s="1">
        <v>0</v>
      </c>
      <c r="AH16" s="1">
        <v>3</v>
      </c>
      <c r="AI16" s="1">
        <v>0</v>
      </c>
      <c r="AJ16" s="4">
        <v>3</v>
      </c>
      <c r="AK16" s="1">
        <v>0</v>
      </c>
      <c r="AL16" s="1">
        <v>0</v>
      </c>
      <c r="AM16" s="1">
        <v>0</v>
      </c>
      <c r="AN16" s="1">
        <v>1</v>
      </c>
      <c r="AO16" s="1">
        <v>0</v>
      </c>
      <c r="AP16" s="1">
        <v>0</v>
      </c>
      <c r="AQ16" s="1">
        <v>2</v>
      </c>
      <c r="AR16" s="1">
        <v>0</v>
      </c>
      <c r="AS16" s="1">
        <v>0</v>
      </c>
      <c r="AT16" s="1">
        <v>0</v>
      </c>
      <c r="AU16" s="59">
        <v>3</v>
      </c>
      <c r="AV16" s="1">
        <v>0</v>
      </c>
      <c r="AW16" s="1">
        <v>0</v>
      </c>
      <c r="AX16" s="59">
        <v>2</v>
      </c>
      <c r="AY16" s="5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1</v>
      </c>
      <c r="BH16" s="1">
        <v>0</v>
      </c>
      <c r="BI16" s="1">
        <v>0</v>
      </c>
      <c r="BJ16" s="1">
        <v>0</v>
      </c>
      <c r="BK16" s="68">
        <v>0</v>
      </c>
      <c r="BL16" s="68">
        <v>0</v>
      </c>
      <c r="BM16" s="1">
        <v>0</v>
      </c>
      <c r="BN16" s="4">
        <v>3</v>
      </c>
    </row>
    <row r="17" spans="1:66" x14ac:dyDescent="0.25">
      <c r="A17" s="15" t="s">
        <v>19</v>
      </c>
      <c r="B17" s="28">
        <v>3</v>
      </c>
      <c r="C17" s="1">
        <v>0</v>
      </c>
      <c r="D17" s="1">
        <v>0</v>
      </c>
      <c r="E17" s="1">
        <v>0</v>
      </c>
      <c r="F17" s="1">
        <v>0</v>
      </c>
      <c r="G17" s="52">
        <v>0</v>
      </c>
      <c r="H17" s="47">
        <v>3</v>
      </c>
      <c r="I17" s="1">
        <v>0</v>
      </c>
      <c r="J17" s="1">
        <v>0</v>
      </c>
      <c r="K17" s="1">
        <v>1</v>
      </c>
      <c r="L17" s="1">
        <v>0</v>
      </c>
      <c r="M17" s="1">
        <v>0</v>
      </c>
      <c r="N17" s="1">
        <v>0</v>
      </c>
      <c r="O17" s="1">
        <v>2</v>
      </c>
      <c r="P17" s="1">
        <v>0</v>
      </c>
      <c r="Q17" s="1">
        <v>0</v>
      </c>
      <c r="R17" s="1">
        <v>0</v>
      </c>
      <c r="S17" s="5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3</v>
      </c>
      <c r="AG17" s="1">
        <v>0</v>
      </c>
      <c r="AH17" s="1">
        <v>2</v>
      </c>
      <c r="AI17" s="1">
        <v>0</v>
      </c>
      <c r="AJ17" s="4">
        <v>3</v>
      </c>
      <c r="AK17" s="1">
        <v>0</v>
      </c>
      <c r="AL17" s="1">
        <v>0</v>
      </c>
      <c r="AM17" s="1">
        <v>0</v>
      </c>
      <c r="AN17" s="1">
        <v>2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59">
        <v>0</v>
      </c>
      <c r="AV17" s="1">
        <v>0</v>
      </c>
      <c r="AW17" s="1">
        <v>0</v>
      </c>
      <c r="AX17" s="59">
        <v>0</v>
      </c>
      <c r="AY17" s="5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2</v>
      </c>
      <c r="BH17" s="1">
        <v>0</v>
      </c>
      <c r="BI17" s="1">
        <v>0</v>
      </c>
      <c r="BJ17" s="1">
        <v>0</v>
      </c>
      <c r="BK17" s="68">
        <v>0</v>
      </c>
      <c r="BL17" s="68">
        <v>0</v>
      </c>
      <c r="BM17" s="1">
        <v>0</v>
      </c>
      <c r="BN17" s="4">
        <v>0</v>
      </c>
    </row>
    <row r="18" spans="1:66" ht="15.75" thickBot="1" x14ac:dyDescent="0.3">
      <c r="A18" s="15" t="s">
        <v>20</v>
      </c>
      <c r="B18" s="28">
        <v>3</v>
      </c>
      <c r="C18" s="1">
        <v>0</v>
      </c>
      <c r="D18" s="1">
        <v>1</v>
      </c>
      <c r="E18" s="1">
        <v>0</v>
      </c>
      <c r="F18" s="1">
        <v>2</v>
      </c>
      <c r="G18" s="52">
        <v>0</v>
      </c>
      <c r="H18" s="47">
        <v>3</v>
      </c>
      <c r="I18" s="1">
        <v>3</v>
      </c>
      <c r="J18" s="1">
        <v>0</v>
      </c>
      <c r="K18" s="1">
        <v>1</v>
      </c>
      <c r="L18" s="1">
        <v>1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5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2</v>
      </c>
      <c r="AE18" s="1">
        <v>0</v>
      </c>
      <c r="AF18" s="1">
        <v>3</v>
      </c>
      <c r="AG18" s="1">
        <v>0</v>
      </c>
      <c r="AH18" s="1">
        <v>0</v>
      </c>
      <c r="AI18" s="1">
        <v>0</v>
      </c>
      <c r="AJ18" s="4">
        <v>2</v>
      </c>
      <c r="AK18" s="1">
        <v>0</v>
      </c>
      <c r="AL18" s="1">
        <v>0</v>
      </c>
      <c r="AM18" s="1">
        <v>0</v>
      </c>
      <c r="AN18" s="1">
        <v>3</v>
      </c>
      <c r="AO18" s="1">
        <v>0</v>
      </c>
      <c r="AP18" s="1">
        <v>0</v>
      </c>
      <c r="AQ18" s="1">
        <v>1</v>
      </c>
      <c r="AR18" s="1">
        <v>0</v>
      </c>
      <c r="AS18" s="1">
        <v>0</v>
      </c>
      <c r="AT18" s="1">
        <v>0</v>
      </c>
      <c r="AU18" s="59">
        <v>0</v>
      </c>
      <c r="AV18" s="1">
        <v>0</v>
      </c>
      <c r="AW18" s="1">
        <v>0</v>
      </c>
      <c r="AX18" s="59">
        <v>0</v>
      </c>
      <c r="AY18" s="5">
        <v>0</v>
      </c>
      <c r="AZ18" s="1">
        <v>0</v>
      </c>
      <c r="BA18" s="1">
        <v>3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2</v>
      </c>
      <c r="BH18" s="1">
        <v>0</v>
      </c>
      <c r="BI18" s="1">
        <v>0</v>
      </c>
      <c r="BJ18" s="1">
        <v>0</v>
      </c>
      <c r="BK18" s="68">
        <v>0</v>
      </c>
      <c r="BL18" s="68">
        <v>0</v>
      </c>
      <c r="BM18" s="1">
        <v>0</v>
      </c>
      <c r="BN18" s="4">
        <v>3</v>
      </c>
    </row>
    <row r="19" spans="1:66" s="39" customFormat="1" ht="15.75" thickTop="1" x14ac:dyDescent="0.25">
      <c r="A19" s="33" t="s">
        <v>21</v>
      </c>
      <c r="B19" s="37">
        <f>SUM(B3:B18)</f>
        <v>40</v>
      </c>
      <c r="C19" s="37">
        <f t="shared" ref="C19:BN19" si="0">SUM(C3:C18)</f>
        <v>17</v>
      </c>
      <c r="D19" s="37">
        <f t="shared" si="0"/>
        <v>22</v>
      </c>
      <c r="E19" s="37">
        <f t="shared" si="0"/>
        <v>15</v>
      </c>
      <c r="F19" s="37">
        <f t="shared" si="0"/>
        <v>18</v>
      </c>
      <c r="G19" s="37">
        <f t="shared" si="0"/>
        <v>18</v>
      </c>
      <c r="H19" s="37">
        <f t="shared" si="0"/>
        <v>34</v>
      </c>
      <c r="I19" s="37">
        <f t="shared" si="0"/>
        <v>25</v>
      </c>
      <c r="J19" s="37">
        <f t="shared" si="0"/>
        <v>10</v>
      </c>
      <c r="K19" s="37">
        <f t="shared" si="0"/>
        <v>17</v>
      </c>
      <c r="L19" s="37">
        <f t="shared" si="0"/>
        <v>25</v>
      </c>
      <c r="M19" s="37">
        <f t="shared" si="0"/>
        <v>0</v>
      </c>
      <c r="N19" s="37">
        <f t="shared" si="0"/>
        <v>8</v>
      </c>
      <c r="O19" s="37">
        <f t="shared" si="0"/>
        <v>23</v>
      </c>
      <c r="P19" s="37">
        <f t="shared" si="0"/>
        <v>10</v>
      </c>
      <c r="Q19" s="37">
        <f t="shared" si="0"/>
        <v>14</v>
      </c>
      <c r="R19" s="37">
        <f t="shared" si="0"/>
        <v>22</v>
      </c>
      <c r="S19" s="37">
        <f t="shared" si="0"/>
        <v>2</v>
      </c>
      <c r="T19" s="37">
        <f t="shared" si="0"/>
        <v>11</v>
      </c>
      <c r="U19" s="37">
        <f t="shared" si="0"/>
        <v>12</v>
      </c>
      <c r="V19" s="37">
        <f t="shared" si="0"/>
        <v>11</v>
      </c>
      <c r="W19" s="37">
        <f t="shared" si="0"/>
        <v>8</v>
      </c>
      <c r="X19" s="37">
        <f t="shared" si="0"/>
        <v>5</v>
      </c>
      <c r="Y19" s="37">
        <f t="shared" si="0"/>
        <v>7</v>
      </c>
      <c r="Z19" s="37">
        <f t="shared" si="0"/>
        <v>2</v>
      </c>
      <c r="AA19" s="37">
        <f t="shared" si="0"/>
        <v>8</v>
      </c>
      <c r="AB19" s="37">
        <f t="shared" si="0"/>
        <v>11</v>
      </c>
      <c r="AC19" s="37">
        <f t="shared" si="0"/>
        <v>9</v>
      </c>
      <c r="AD19" s="37">
        <f t="shared" si="0"/>
        <v>10</v>
      </c>
      <c r="AE19" s="37">
        <f t="shared" si="0"/>
        <v>0</v>
      </c>
      <c r="AF19" s="37">
        <f t="shared" si="0"/>
        <v>34</v>
      </c>
      <c r="AG19" s="37">
        <f t="shared" si="0"/>
        <v>5</v>
      </c>
      <c r="AH19" s="37">
        <f t="shared" si="0"/>
        <v>24</v>
      </c>
      <c r="AI19" s="37">
        <f t="shared" si="0"/>
        <v>0</v>
      </c>
      <c r="AJ19" s="37">
        <f t="shared" si="0"/>
        <v>25</v>
      </c>
      <c r="AK19" s="37">
        <f t="shared" si="0"/>
        <v>20</v>
      </c>
      <c r="AL19" s="37">
        <f t="shared" si="0"/>
        <v>20</v>
      </c>
      <c r="AM19" s="37">
        <f t="shared" si="0"/>
        <v>16</v>
      </c>
      <c r="AN19" s="37">
        <f>SUM(AN3:AN18)</f>
        <v>29</v>
      </c>
      <c r="AO19" s="37">
        <f t="shared" si="0"/>
        <v>23</v>
      </c>
      <c r="AP19" s="37">
        <f t="shared" si="0"/>
        <v>26</v>
      </c>
      <c r="AQ19" s="37">
        <f t="shared" si="0"/>
        <v>21</v>
      </c>
      <c r="AR19" s="37">
        <f t="shared" si="0"/>
        <v>22</v>
      </c>
      <c r="AS19" s="37">
        <f t="shared" si="0"/>
        <v>13</v>
      </c>
      <c r="AT19" s="37">
        <f t="shared" si="0"/>
        <v>26</v>
      </c>
      <c r="AU19" s="37">
        <f t="shared" si="0"/>
        <v>23</v>
      </c>
      <c r="AV19" s="37">
        <f t="shared" si="0"/>
        <v>23</v>
      </c>
      <c r="AW19" s="37">
        <f t="shared" si="0"/>
        <v>10</v>
      </c>
      <c r="AX19" s="37">
        <f t="shared" si="0"/>
        <v>22</v>
      </c>
      <c r="AY19" s="37">
        <f t="shared" si="0"/>
        <v>21</v>
      </c>
      <c r="AZ19" s="37">
        <f t="shared" si="0"/>
        <v>23</v>
      </c>
      <c r="BA19" s="37">
        <f t="shared" si="0"/>
        <v>22</v>
      </c>
      <c r="BB19" s="37">
        <f t="shared" si="0"/>
        <v>7</v>
      </c>
      <c r="BC19" s="37">
        <f t="shared" si="0"/>
        <v>19</v>
      </c>
      <c r="BD19" s="37">
        <f t="shared" si="0"/>
        <v>13</v>
      </c>
      <c r="BE19" s="37">
        <f t="shared" si="0"/>
        <v>0</v>
      </c>
      <c r="BF19" s="37">
        <f t="shared" si="0"/>
        <v>24</v>
      </c>
      <c r="BG19" s="37">
        <f t="shared" si="0"/>
        <v>34</v>
      </c>
      <c r="BH19" s="37">
        <f t="shared" si="0"/>
        <v>13</v>
      </c>
      <c r="BI19" s="37">
        <f t="shared" si="0"/>
        <v>16</v>
      </c>
      <c r="BJ19" s="37">
        <f t="shared" si="0"/>
        <v>8</v>
      </c>
      <c r="BK19" s="37">
        <f t="shared" si="0"/>
        <v>7</v>
      </c>
      <c r="BL19" s="37">
        <f t="shared" si="0"/>
        <v>5</v>
      </c>
      <c r="BM19" s="37">
        <f t="shared" si="0"/>
        <v>3</v>
      </c>
      <c r="BN19" s="37">
        <f t="shared" si="0"/>
        <v>22</v>
      </c>
    </row>
    <row r="20" spans="1:66" s="30" customFormat="1" x14ac:dyDescent="0.25">
      <c r="A20" s="34" t="s">
        <v>22</v>
      </c>
      <c r="B20" s="36">
        <f xml:space="preserve"> B19/$B$19 * 100</f>
        <v>100</v>
      </c>
      <c r="C20" s="36">
        <f t="shared" ref="C20:BN20" si="1" xml:space="preserve"> C19/$B$19 * 100</f>
        <v>42.5</v>
      </c>
      <c r="D20" s="36">
        <f t="shared" si="1"/>
        <v>55.000000000000007</v>
      </c>
      <c r="E20" s="36">
        <f t="shared" si="1"/>
        <v>37.5</v>
      </c>
      <c r="F20" s="36">
        <f t="shared" si="1"/>
        <v>45</v>
      </c>
      <c r="G20" s="36">
        <f t="shared" si="1"/>
        <v>45</v>
      </c>
      <c r="H20" s="36">
        <f t="shared" si="1"/>
        <v>85</v>
      </c>
      <c r="I20" s="36">
        <f t="shared" si="1"/>
        <v>62.5</v>
      </c>
      <c r="J20" s="36">
        <f t="shared" si="1"/>
        <v>25</v>
      </c>
      <c r="K20" s="36">
        <f t="shared" si="1"/>
        <v>42.5</v>
      </c>
      <c r="L20" s="36">
        <f t="shared" si="1"/>
        <v>62.5</v>
      </c>
      <c r="M20" s="36">
        <f t="shared" si="1"/>
        <v>0</v>
      </c>
      <c r="N20" s="36">
        <f t="shared" si="1"/>
        <v>20</v>
      </c>
      <c r="O20" s="36">
        <f t="shared" si="1"/>
        <v>57.499999999999993</v>
      </c>
      <c r="P20" s="36">
        <f t="shared" si="1"/>
        <v>25</v>
      </c>
      <c r="Q20" s="36">
        <f t="shared" si="1"/>
        <v>35</v>
      </c>
      <c r="R20" s="36">
        <f t="shared" si="1"/>
        <v>55.000000000000007</v>
      </c>
      <c r="S20" s="36">
        <f t="shared" si="1"/>
        <v>5</v>
      </c>
      <c r="T20" s="36">
        <f t="shared" si="1"/>
        <v>27.500000000000004</v>
      </c>
      <c r="U20" s="36">
        <f t="shared" si="1"/>
        <v>30</v>
      </c>
      <c r="V20" s="36">
        <f t="shared" si="1"/>
        <v>27.500000000000004</v>
      </c>
      <c r="W20" s="36">
        <f t="shared" si="1"/>
        <v>20</v>
      </c>
      <c r="X20" s="36">
        <f t="shared" si="1"/>
        <v>12.5</v>
      </c>
      <c r="Y20" s="36">
        <f t="shared" si="1"/>
        <v>17.5</v>
      </c>
      <c r="Z20" s="36">
        <f t="shared" si="1"/>
        <v>5</v>
      </c>
      <c r="AA20" s="36">
        <f t="shared" si="1"/>
        <v>20</v>
      </c>
      <c r="AB20" s="36">
        <f t="shared" si="1"/>
        <v>27.500000000000004</v>
      </c>
      <c r="AC20" s="36">
        <f t="shared" si="1"/>
        <v>22.5</v>
      </c>
      <c r="AD20" s="36">
        <f t="shared" si="1"/>
        <v>25</v>
      </c>
      <c r="AE20" s="36">
        <f t="shared" si="1"/>
        <v>0</v>
      </c>
      <c r="AF20" s="36">
        <f t="shared" si="1"/>
        <v>85</v>
      </c>
      <c r="AG20" s="36">
        <f t="shared" si="1"/>
        <v>12.5</v>
      </c>
      <c r="AH20" s="36">
        <f t="shared" si="1"/>
        <v>60</v>
      </c>
      <c r="AI20" s="36">
        <f t="shared" si="1"/>
        <v>0</v>
      </c>
      <c r="AJ20" s="36">
        <f t="shared" si="1"/>
        <v>62.5</v>
      </c>
      <c r="AK20" s="36">
        <f t="shared" si="1"/>
        <v>50</v>
      </c>
      <c r="AL20" s="36">
        <f t="shared" si="1"/>
        <v>50</v>
      </c>
      <c r="AM20" s="36">
        <f t="shared" si="1"/>
        <v>40</v>
      </c>
      <c r="AN20" s="36">
        <f t="shared" si="1"/>
        <v>72.5</v>
      </c>
      <c r="AO20" s="36">
        <f t="shared" si="1"/>
        <v>57.499999999999993</v>
      </c>
      <c r="AP20" s="36">
        <f t="shared" si="1"/>
        <v>65</v>
      </c>
      <c r="AQ20" s="36">
        <f t="shared" si="1"/>
        <v>52.5</v>
      </c>
      <c r="AR20" s="36">
        <f t="shared" si="1"/>
        <v>55.000000000000007</v>
      </c>
      <c r="AS20" s="36">
        <f t="shared" si="1"/>
        <v>32.5</v>
      </c>
      <c r="AT20" s="36">
        <f t="shared" si="1"/>
        <v>65</v>
      </c>
      <c r="AU20" s="36">
        <f t="shared" si="1"/>
        <v>57.499999999999993</v>
      </c>
      <c r="AV20" s="36">
        <f t="shared" si="1"/>
        <v>57.499999999999993</v>
      </c>
      <c r="AW20" s="36">
        <f t="shared" si="1"/>
        <v>25</v>
      </c>
      <c r="AX20" s="36">
        <f t="shared" si="1"/>
        <v>55.000000000000007</v>
      </c>
      <c r="AY20" s="36">
        <f t="shared" si="1"/>
        <v>52.5</v>
      </c>
      <c r="AZ20" s="36">
        <f t="shared" si="1"/>
        <v>57.499999999999993</v>
      </c>
      <c r="BA20" s="36">
        <f t="shared" si="1"/>
        <v>55.000000000000007</v>
      </c>
      <c r="BB20" s="36">
        <f t="shared" si="1"/>
        <v>17.5</v>
      </c>
      <c r="BC20" s="36">
        <f t="shared" si="1"/>
        <v>47.5</v>
      </c>
      <c r="BD20" s="36">
        <f t="shared" si="1"/>
        <v>32.5</v>
      </c>
      <c r="BE20" s="36">
        <f t="shared" si="1"/>
        <v>0</v>
      </c>
      <c r="BF20" s="36">
        <f t="shared" si="1"/>
        <v>60</v>
      </c>
      <c r="BG20" s="36">
        <f t="shared" si="1"/>
        <v>85</v>
      </c>
      <c r="BH20" s="36">
        <f t="shared" si="1"/>
        <v>32.5</v>
      </c>
      <c r="BI20" s="36">
        <f t="shared" si="1"/>
        <v>40</v>
      </c>
      <c r="BJ20" s="36">
        <f t="shared" si="1"/>
        <v>20</v>
      </c>
      <c r="BK20" s="36">
        <f t="shared" si="1"/>
        <v>17.5</v>
      </c>
      <c r="BL20" s="36">
        <f t="shared" si="1"/>
        <v>12.5</v>
      </c>
      <c r="BM20" s="36">
        <f t="shared" si="1"/>
        <v>7.5</v>
      </c>
      <c r="BN20" s="36">
        <f t="shared" si="1"/>
        <v>55.000000000000007</v>
      </c>
    </row>
    <row r="21" spans="1:66" s="40" customFormat="1" ht="15.75" thickBot="1" x14ac:dyDescent="0.3">
      <c r="A21" s="35" t="s">
        <v>23</v>
      </c>
      <c r="B21" s="38">
        <f>VLOOKUP(B20,grading!$B10:$C14,2)</f>
        <v>5</v>
      </c>
      <c r="C21" s="38">
        <f>VLOOKUP(C20,grading!$B10:$C14,2)</f>
        <v>2</v>
      </c>
      <c r="D21" s="38">
        <f>VLOOKUP(D20,grading!$B10:$C14,2)</f>
        <v>3</v>
      </c>
      <c r="E21" s="38">
        <f>VLOOKUP(E20,grading!$B10:$C14,2)</f>
        <v>1</v>
      </c>
      <c r="F21" s="38">
        <f>VLOOKUP(F20,grading!$B10:$C14,2)</f>
        <v>2</v>
      </c>
      <c r="G21" s="38">
        <f>VLOOKUP(G20,grading!$B10:$C14,2)</f>
        <v>2</v>
      </c>
      <c r="H21" s="38">
        <f>VLOOKUP(H20,grading!$B10:$C14,2)</f>
        <v>5</v>
      </c>
      <c r="I21" s="38">
        <f>VLOOKUP(I20,grading!$B10:$C14,2)</f>
        <v>3</v>
      </c>
      <c r="J21" s="38">
        <f>VLOOKUP(J20,grading!$B10:$C14,2)</f>
        <v>1</v>
      </c>
      <c r="K21" s="38">
        <f>VLOOKUP(K20,grading!$B10:$C14,2)</f>
        <v>2</v>
      </c>
      <c r="L21" s="38">
        <f>VLOOKUP(L20,grading!$B10:$C14,2)</f>
        <v>3</v>
      </c>
      <c r="M21" s="38">
        <f>VLOOKUP(M20,grading!$B10:$C14,2)</f>
        <v>1</v>
      </c>
      <c r="N21" s="38">
        <f>VLOOKUP(N20,grading!$B10:$C14,2)</f>
        <v>1</v>
      </c>
      <c r="O21" s="38">
        <f>VLOOKUP(O20,grading!$B10:$C14,2)</f>
        <v>3</v>
      </c>
      <c r="P21" s="38">
        <f>VLOOKUP(P20,grading!$B10:$C14,2)</f>
        <v>1</v>
      </c>
      <c r="Q21" s="38">
        <f>VLOOKUP(Q20,grading!$B10:$C14,2)</f>
        <v>1</v>
      </c>
      <c r="R21" s="38">
        <f>VLOOKUP(R20,grading!$B10:$C14,2)</f>
        <v>3</v>
      </c>
      <c r="S21" s="38">
        <f>VLOOKUP(S20,grading!$B10:$C14,2)</f>
        <v>1</v>
      </c>
      <c r="T21" s="38">
        <f>VLOOKUP(T20,grading!$B10:$C14,2)</f>
        <v>1</v>
      </c>
      <c r="U21" s="38">
        <f>VLOOKUP(U20,grading!$B10:$C14,2)</f>
        <v>1</v>
      </c>
      <c r="V21" s="38">
        <f>VLOOKUP(V20,grading!$B10:$C14,2)</f>
        <v>1</v>
      </c>
      <c r="W21" s="38">
        <f>VLOOKUP(W20,grading!$B10:$C14,2)</f>
        <v>1</v>
      </c>
      <c r="X21" s="38">
        <f>VLOOKUP(X20,grading!$B10:$C14,2)</f>
        <v>1</v>
      </c>
      <c r="Y21" s="38">
        <f>VLOOKUP(Y20,grading!$B10:$C14,2)</f>
        <v>1</v>
      </c>
      <c r="Z21" s="38">
        <f>VLOOKUP(Z20,grading!$B10:$C14,2)</f>
        <v>1</v>
      </c>
      <c r="AA21" s="38">
        <f>VLOOKUP(AA20,grading!$B10:$C14,2)</f>
        <v>1</v>
      </c>
      <c r="AB21" s="38">
        <f>VLOOKUP(AB20,grading!$B10:$C14,2)</f>
        <v>1</v>
      </c>
      <c r="AC21" s="38">
        <f>VLOOKUP(AC20,grading!$B10:$C14,2)</f>
        <v>1</v>
      </c>
      <c r="AD21" s="38">
        <f>VLOOKUP(AD20,grading!$B10:$C14,2)</f>
        <v>1</v>
      </c>
      <c r="AE21" s="38">
        <f>VLOOKUP(AE20,grading!$B10:$C14,2)</f>
        <v>1</v>
      </c>
      <c r="AF21" s="38">
        <f>VLOOKUP(AF20,grading!$B10:$C14,2)</f>
        <v>5</v>
      </c>
      <c r="AG21" s="38">
        <f>VLOOKUP(AG20,grading!$B10:$C14,2)</f>
        <v>1</v>
      </c>
      <c r="AH21" s="38">
        <f>VLOOKUP(AH20,grading!$B10:$C14,2)</f>
        <v>3</v>
      </c>
      <c r="AI21" s="38">
        <f>VLOOKUP(AI20,grading!$B10:$C14,2)</f>
        <v>1</v>
      </c>
      <c r="AJ21" s="38">
        <f>VLOOKUP(AJ20,grading!$B10:$C14,2)</f>
        <v>3</v>
      </c>
      <c r="AK21" s="38">
        <f>VLOOKUP(AK20,grading!$B10:$C14,2)</f>
        <v>2</v>
      </c>
      <c r="AL21" s="38">
        <f>VLOOKUP(AL20,grading!$B10:$C14,2)</f>
        <v>2</v>
      </c>
      <c r="AM21" s="38">
        <f>VLOOKUP(AM20,grading!$B10:$C14,2)</f>
        <v>2</v>
      </c>
      <c r="AN21" s="38">
        <f>VLOOKUP(AN20,grading!$B10:$C14,2)</f>
        <v>4</v>
      </c>
      <c r="AO21" s="38">
        <f>VLOOKUP(AO20,grading!$B10:$C14,2)</f>
        <v>3</v>
      </c>
      <c r="AP21" s="38">
        <f>VLOOKUP(AP20,grading!$B10:$C14,2)</f>
        <v>3</v>
      </c>
      <c r="AQ21" s="38">
        <f>VLOOKUP(AQ20,grading!$B10:$C14,2)</f>
        <v>2</v>
      </c>
      <c r="AR21" s="38">
        <f>VLOOKUP(AR20,grading!$B10:$C14,2)</f>
        <v>3</v>
      </c>
      <c r="AS21" s="38">
        <f>VLOOKUP(AS20,grading!$B10:$C14,2)</f>
        <v>1</v>
      </c>
      <c r="AT21" s="38">
        <f>VLOOKUP(AT20,grading!$B10:$C14,2)</f>
        <v>3</v>
      </c>
      <c r="AU21" s="38">
        <f>VLOOKUP(AU20,grading!$B10:$C14,2)</f>
        <v>3</v>
      </c>
      <c r="AV21" s="38">
        <f>VLOOKUP(AV20,grading!$B10:$C14,2)</f>
        <v>3</v>
      </c>
      <c r="AW21" s="38">
        <f>VLOOKUP(AW20,grading!$B10:$C14,2)</f>
        <v>1</v>
      </c>
      <c r="AX21" s="38">
        <f>VLOOKUP(AX20,grading!$B10:$C14,2)</f>
        <v>3</v>
      </c>
      <c r="AY21" s="38">
        <f>VLOOKUP(AY20,grading!$B10:$C14,2)</f>
        <v>2</v>
      </c>
      <c r="AZ21" s="38">
        <f>VLOOKUP(AZ20,grading!$B10:$C14,2)</f>
        <v>3</v>
      </c>
      <c r="BA21" s="38">
        <f>VLOOKUP(BA20,grading!$B10:$C14,2)</f>
        <v>3</v>
      </c>
      <c r="BB21" s="38">
        <f>VLOOKUP(BB20,grading!$B10:$C14,2)</f>
        <v>1</v>
      </c>
      <c r="BC21" s="38">
        <f>VLOOKUP(BC20,grading!$B10:$C14,2)</f>
        <v>2</v>
      </c>
      <c r="BD21" s="38">
        <f>VLOOKUP(BD20,grading!$B10:$C14,2)</f>
        <v>1</v>
      </c>
      <c r="BE21" s="38">
        <f>VLOOKUP(BE20,grading!$B10:$C14,2)</f>
        <v>1</v>
      </c>
      <c r="BF21" s="38">
        <f>VLOOKUP(BF20,grading!$B10:$C14,2)</f>
        <v>3</v>
      </c>
      <c r="BG21" s="38">
        <f>VLOOKUP(BG20,grading!$B10:$C14,2)</f>
        <v>5</v>
      </c>
      <c r="BH21" s="38">
        <f>VLOOKUP(BH20,grading!$B10:$C14,2)</f>
        <v>1</v>
      </c>
      <c r="BI21" s="38">
        <f>VLOOKUP(BI20,grading!$B10:$C14,2)</f>
        <v>2</v>
      </c>
      <c r="BJ21" s="38">
        <f>VLOOKUP(BJ20,grading!$B10:$C14,2)</f>
        <v>1</v>
      </c>
      <c r="BK21" s="38">
        <f>VLOOKUP(BK20,grading!$B10:$C14,2)</f>
        <v>1</v>
      </c>
      <c r="BL21" s="38">
        <f>VLOOKUP(BL20,grading!$B10:$C14,2)</f>
        <v>1</v>
      </c>
      <c r="BM21" s="38">
        <f>VLOOKUP(BM20,grading!$B10:$C14,2)</f>
        <v>1</v>
      </c>
      <c r="BN21" s="38">
        <f>VLOOKUP(BN20,grading!$B10:$C14,2)</f>
        <v>3</v>
      </c>
    </row>
    <row r="22" spans="1:66" ht="15.75" thickTop="1" x14ac:dyDescent="0.25"/>
  </sheetData>
  <mergeCells count="4">
    <mergeCell ref="T1:AJ1"/>
    <mergeCell ref="AK1:AY1"/>
    <mergeCell ref="AZ1:BN1"/>
    <mergeCell ref="C1:S1"/>
  </mergeCells>
  <conditionalFormatting sqref="B20:BN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1:BN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S2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AJ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zoomScale="340" zoomScaleNormal="340" workbookViewId="0">
      <selection activeCell="C5" sqref="C5:F5"/>
    </sheetView>
  </sheetViews>
  <sheetFormatPr defaultRowHeight="15" x14ac:dyDescent="0.25"/>
  <cols>
    <col min="2" max="2" width="3.85546875" bestFit="1" customWidth="1"/>
    <col min="3" max="6" width="4.5703125" bestFit="1" customWidth="1"/>
  </cols>
  <sheetData>
    <row r="1" spans="1:6" ht="27.75" x14ac:dyDescent="0.25">
      <c r="C1" s="43" t="s">
        <v>24</v>
      </c>
      <c r="D1" s="44" t="s">
        <v>25</v>
      </c>
      <c r="E1" s="45" t="s">
        <v>26</v>
      </c>
      <c r="F1" s="46" t="s">
        <v>27</v>
      </c>
    </row>
    <row r="2" spans="1:6" x14ac:dyDescent="0.25">
      <c r="A2" s="81" t="s">
        <v>28</v>
      </c>
      <c r="B2" s="30" t="s">
        <v>29</v>
      </c>
      <c r="C2" s="41">
        <f>AVERAGE(pav!C20:S20)</f>
        <v>41.176470588235297</v>
      </c>
      <c r="D2" s="41">
        <f>AVERAGE(pav!T20:AJ20)</f>
        <v>26.764705882352942</v>
      </c>
      <c r="E2" s="41">
        <f>AVERAGE(pav!AK20:AY20)</f>
        <v>52.5</v>
      </c>
      <c r="F2" s="41">
        <f>AVERAGE(pav!AZ20:BN20)</f>
        <v>36</v>
      </c>
    </row>
    <row r="3" spans="1:6" x14ac:dyDescent="0.25">
      <c r="A3" s="81"/>
      <c r="B3" s="81" t="s">
        <v>30</v>
      </c>
      <c r="C3" s="42">
        <f>AVERAGE(pav!C21:S21)</f>
        <v>2.0588235294117645</v>
      </c>
      <c r="D3" s="42">
        <f>AVERAGE(pav!T21:AJ21)</f>
        <v>1.4705882352941178</v>
      </c>
      <c r="E3" s="42">
        <f>AVERAGE(pav!AK21:AY21)</f>
        <v>2.4666666666666668</v>
      </c>
      <c r="F3" s="42">
        <f>AVERAGE(pav!AZ21:BN21)</f>
        <v>1.9333333333333333</v>
      </c>
    </row>
    <row r="4" spans="1:6" x14ac:dyDescent="0.25">
      <c r="A4" s="81"/>
      <c r="B4" s="81"/>
      <c r="C4" s="80">
        <f>AVERAGE(pav!J21:AJ21)</f>
        <v>1.5555555555555556</v>
      </c>
      <c r="D4" s="80"/>
      <c r="E4" s="80">
        <f>AVERAGE(pav!AK21:BN21)</f>
        <v>2.2000000000000002</v>
      </c>
      <c r="F4" s="80"/>
    </row>
    <row r="5" spans="1:6" x14ac:dyDescent="0.25">
      <c r="A5" s="81"/>
      <c r="B5" s="30" t="s">
        <v>29</v>
      </c>
      <c r="C5" s="82">
        <f>AVERAGE(pav!C20:BN20)</f>
        <v>38.7890625</v>
      </c>
      <c r="D5" s="83"/>
      <c r="E5" s="83"/>
      <c r="F5" s="83"/>
    </row>
  </sheetData>
  <mergeCells count="5">
    <mergeCell ref="C4:D4"/>
    <mergeCell ref="E4:F4"/>
    <mergeCell ref="B3:B4"/>
    <mergeCell ref="A2:A5"/>
    <mergeCell ref="C5:F5"/>
  </mergeCells>
  <conditionalFormatting sqref="C2:F2 C5:F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F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F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C25"/>
  <sheetViews>
    <sheetView workbookViewId="0">
      <selection activeCell="A15" sqref="A15"/>
    </sheetView>
  </sheetViews>
  <sheetFormatPr defaultRowHeight="15" x14ac:dyDescent="0.25"/>
  <cols>
    <col min="1" max="1" width="4.28515625" customWidth="1"/>
  </cols>
  <sheetData>
    <row r="1" spans="2:3" ht="22.5" customHeight="1" thickBot="1" x14ac:dyDescent="0.3"/>
    <row r="2" spans="2:3" ht="19.5" thickBot="1" x14ac:dyDescent="0.35">
      <c r="B2" s="84" t="s">
        <v>31</v>
      </c>
      <c r="C2" s="85"/>
    </row>
    <row r="3" spans="2:3" x14ac:dyDescent="0.25">
      <c r="B3" s="21">
        <v>0</v>
      </c>
      <c r="C3" s="24">
        <v>1</v>
      </c>
    </row>
    <row r="4" spans="2:3" x14ac:dyDescent="0.25">
      <c r="B4" s="22">
        <v>33</v>
      </c>
      <c r="C4" s="25">
        <v>2</v>
      </c>
    </row>
    <row r="5" spans="2:3" x14ac:dyDescent="0.25">
      <c r="B5" s="22">
        <v>50</v>
      </c>
      <c r="C5" s="25">
        <v>3</v>
      </c>
    </row>
    <row r="6" spans="2:3" x14ac:dyDescent="0.25">
      <c r="B6" s="22">
        <v>70</v>
      </c>
      <c r="C6" s="25">
        <v>4</v>
      </c>
    </row>
    <row r="7" spans="2:3" ht="15.75" thickBot="1" x14ac:dyDescent="0.3">
      <c r="B7" s="23">
        <v>85</v>
      </c>
      <c r="C7" s="26">
        <v>5</v>
      </c>
    </row>
    <row r="8" spans="2:3" ht="15.75" thickBot="1" x14ac:dyDescent="0.3"/>
    <row r="9" spans="2:3" ht="19.5" thickBot="1" x14ac:dyDescent="0.35">
      <c r="B9" s="86" t="s">
        <v>32</v>
      </c>
      <c r="C9" s="87"/>
    </row>
    <row r="10" spans="2:3" x14ac:dyDescent="0.25">
      <c r="B10" s="21">
        <v>0</v>
      </c>
      <c r="C10" s="24">
        <v>1</v>
      </c>
    </row>
    <row r="11" spans="2:3" x14ac:dyDescent="0.25">
      <c r="B11" s="22">
        <v>40</v>
      </c>
      <c r="C11" s="25">
        <v>2</v>
      </c>
    </row>
    <row r="12" spans="2:3" x14ac:dyDescent="0.25">
      <c r="B12" s="22">
        <v>55</v>
      </c>
      <c r="C12" s="25">
        <v>3</v>
      </c>
    </row>
    <row r="13" spans="2:3" x14ac:dyDescent="0.25">
      <c r="B13" s="22">
        <v>70</v>
      </c>
      <c r="C13" s="25">
        <v>4</v>
      </c>
    </row>
    <row r="14" spans="2:3" ht="15.75" thickBot="1" x14ac:dyDescent="0.3">
      <c r="B14" s="23">
        <v>85</v>
      </c>
      <c r="C14" s="26">
        <v>5</v>
      </c>
    </row>
    <row r="15" spans="2:3" ht="15.75" thickBot="1" x14ac:dyDescent="0.3"/>
    <row r="16" spans="2:3" ht="19.5" thickBot="1" x14ac:dyDescent="0.35">
      <c r="B16" s="88" t="s">
        <v>33</v>
      </c>
      <c r="C16" s="89"/>
    </row>
    <row r="17" spans="2:3" x14ac:dyDescent="0.25">
      <c r="B17" s="31">
        <v>0</v>
      </c>
      <c r="C17" s="24" t="s">
        <v>34</v>
      </c>
    </row>
    <row r="18" spans="2:3" x14ac:dyDescent="0.25">
      <c r="B18" s="31">
        <v>33</v>
      </c>
      <c r="C18" s="25" t="s">
        <v>35</v>
      </c>
    </row>
    <row r="19" spans="2:3" x14ac:dyDescent="0.25">
      <c r="B19" s="31">
        <v>40</v>
      </c>
      <c r="C19" s="25" t="s">
        <v>36</v>
      </c>
    </row>
    <row r="20" spans="2:3" x14ac:dyDescent="0.25">
      <c r="B20" s="31">
        <v>49</v>
      </c>
      <c r="C20" s="25" t="s">
        <v>37</v>
      </c>
    </row>
    <row r="21" spans="2:3" x14ac:dyDescent="0.25">
      <c r="B21" s="31">
        <v>58</v>
      </c>
      <c r="C21" s="25" t="s">
        <v>38</v>
      </c>
    </row>
    <row r="22" spans="2:3" x14ac:dyDescent="0.25">
      <c r="B22" s="31">
        <v>67</v>
      </c>
      <c r="C22" s="25" t="s">
        <v>39</v>
      </c>
    </row>
    <row r="23" spans="2:3" x14ac:dyDescent="0.25">
      <c r="B23" s="31">
        <v>76</v>
      </c>
      <c r="C23" s="25" t="s">
        <v>40</v>
      </c>
    </row>
    <row r="24" spans="2:3" x14ac:dyDescent="0.25">
      <c r="B24" s="31">
        <v>85</v>
      </c>
      <c r="C24" s="25" t="s">
        <v>41</v>
      </c>
    </row>
    <row r="25" spans="2:3" ht="15.75" thickBot="1" x14ac:dyDescent="0.3">
      <c r="B25" s="32">
        <v>90</v>
      </c>
      <c r="C25" s="26" t="s">
        <v>42</v>
      </c>
    </row>
  </sheetData>
  <mergeCells count="3">
    <mergeCell ref="B2:C2"/>
    <mergeCell ref="B9:C9"/>
    <mergeCell ref="B16:C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pav</vt:lpstr>
      <vt:lpstr>stat</vt:lpstr>
      <vt:lpstr>grading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2026-09-15T12:35:10Z</dcterms:modified>
  <cp:category/>
  <cp:contentStatus/>
</cp:coreProperties>
</file>